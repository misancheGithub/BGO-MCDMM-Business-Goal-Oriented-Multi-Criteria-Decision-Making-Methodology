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F:\DiscoMaribel\misanche\Artículos-escritos\Enviados\2024-ICSE-LIsbon\"/>
    </mc:Choice>
  </mc:AlternateContent>
  <xr:revisionPtr revIDLastSave="0" documentId="13_ncr:1_{49AC0DF4-C9D2-4469-9EC4-B2BD04EA0E5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General" sheetId="1" r:id="rId1"/>
    <sheet name="Areas" sheetId="2" r:id="rId2"/>
    <sheet name="Counting Class" sheetId="3" r:id="rId3"/>
  </sheets>
  <definedNames>
    <definedName name="_xlnm._FilterDatabase" localSheetId="1" hidden="1">Areas!$A$45:$R$45</definedName>
    <definedName name="_xlnm._FilterDatabase" localSheetId="2" hidden="1">'Counting Class'!$A$1:$AH$1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3hJ6HVBsOPIXg3/cY0wtCaoqlPg==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R19" i="2" s="1"/>
  <c r="P18" i="2"/>
  <c r="O18" i="2"/>
  <c r="N18" i="2"/>
  <c r="M18" i="2"/>
  <c r="L18" i="2"/>
  <c r="K18" i="2"/>
  <c r="J18" i="2"/>
  <c r="I18" i="2"/>
  <c r="H18" i="2"/>
  <c r="G18" i="2"/>
  <c r="F18" i="2"/>
  <c r="E18" i="2"/>
  <c r="R18" i="2" s="1"/>
  <c r="D18" i="2"/>
  <c r="C18" i="2"/>
  <c r="B18" i="2"/>
  <c r="P17" i="2"/>
  <c r="O17" i="2"/>
  <c r="N17" i="2"/>
  <c r="M17" i="2"/>
  <c r="L17" i="2"/>
  <c r="K17" i="2"/>
  <c r="J17" i="2"/>
  <c r="I17" i="2"/>
  <c r="H17" i="2"/>
  <c r="G17" i="2"/>
  <c r="F17" i="2"/>
  <c r="E17" i="2"/>
  <c r="R17" i="2" s="1"/>
  <c r="D17" i="2"/>
  <c r="C17" i="2"/>
  <c r="P16" i="2"/>
  <c r="O16" i="2"/>
  <c r="N16" i="2"/>
  <c r="M16" i="2"/>
  <c r="L16" i="2"/>
  <c r="K16" i="2"/>
  <c r="J16" i="2"/>
  <c r="I16" i="2"/>
  <c r="H16" i="2"/>
  <c r="G16" i="2"/>
  <c r="F16" i="2"/>
  <c r="E16" i="2"/>
  <c r="R16" i="2" s="1"/>
  <c r="D16" i="2"/>
  <c r="C16" i="2"/>
  <c r="P15" i="2"/>
  <c r="O15" i="2"/>
  <c r="N15" i="2"/>
  <c r="M15" i="2"/>
  <c r="L15" i="2"/>
  <c r="K15" i="2"/>
  <c r="J15" i="2"/>
  <c r="I15" i="2"/>
  <c r="H15" i="2"/>
  <c r="G15" i="2"/>
  <c r="F15" i="2"/>
  <c r="E15" i="2"/>
  <c r="R15" i="2" s="1"/>
  <c r="D15" i="2"/>
  <c r="C15" i="2"/>
  <c r="P14" i="2"/>
  <c r="O14" i="2"/>
  <c r="N14" i="2"/>
  <c r="M14" i="2"/>
  <c r="L14" i="2"/>
  <c r="K14" i="2"/>
  <c r="J14" i="2"/>
  <c r="I14" i="2"/>
  <c r="H14" i="2"/>
  <c r="G14" i="2"/>
  <c r="F14" i="2"/>
  <c r="E14" i="2"/>
  <c r="R14" i="2" s="1"/>
  <c r="D14" i="2"/>
  <c r="C14" i="2"/>
  <c r="P13" i="2"/>
  <c r="O13" i="2"/>
  <c r="N13" i="2"/>
  <c r="M13" i="2"/>
  <c r="L13" i="2"/>
  <c r="K13" i="2"/>
  <c r="J13" i="2"/>
  <c r="I13" i="2"/>
  <c r="H13" i="2"/>
  <c r="G13" i="2"/>
  <c r="F13" i="2"/>
  <c r="E13" i="2"/>
  <c r="R13" i="2" s="1"/>
  <c r="D13" i="2"/>
  <c r="C13" i="2"/>
  <c r="P12" i="2"/>
  <c r="O12" i="2"/>
  <c r="N12" i="2"/>
  <c r="M12" i="2"/>
  <c r="L12" i="2"/>
  <c r="K12" i="2"/>
  <c r="J12" i="2"/>
  <c r="I12" i="2"/>
  <c r="H12" i="2"/>
  <c r="G12" i="2"/>
  <c r="F12" i="2"/>
  <c r="E12" i="2"/>
  <c r="R12" i="2" s="1"/>
  <c r="D12" i="2"/>
  <c r="C12" i="2"/>
  <c r="P11" i="2"/>
  <c r="O11" i="2"/>
  <c r="N11" i="2"/>
  <c r="M11" i="2"/>
  <c r="L11" i="2"/>
  <c r="K11" i="2"/>
  <c r="J11" i="2"/>
  <c r="I11" i="2"/>
  <c r="H11" i="2"/>
  <c r="G11" i="2"/>
  <c r="F11" i="2"/>
  <c r="E11" i="2"/>
  <c r="R11" i="2" s="1"/>
  <c r="D11" i="2"/>
  <c r="C11" i="2"/>
  <c r="P10" i="2"/>
  <c r="O10" i="2"/>
  <c r="N10" i="2"/>
  <c r="M10" i="2"/>
  <c r="L10" i="2"/>
  <c r="K10" i="2"/>
  <c r="J10" i="2"/>
  <c r="I10" i="2"/>
  <c r="H10" i="2"/>
  <c r="G10" i="2"/>
  <c r="F10" i="2"/>
  <c r="E10" i="2"/>
  <c r="R10" i="2" s="1"/>
  <c r="D10" i="2"/>
  <c r="C10" i="2"/>
  <c r="P9" i="2"/>
  <c r="O9" i="2"/>
  <c r="N9" i="2"/>
  <c r="M9" i="2"/>
  <c r="L9" i="2"/>
  <c r="K9" i="2"/>
  <c r="J9" i="2"/>
  <c r="I9" i="2"/>
  <c r="H9" i="2"/>
  <c r="G9" i="2"/>
  <c r="F9" i="2"/>
  <c r="E9" i="2"/>
  <c r="R9" i="2" s="1"/>
  <c r="D9" i="2"/>
  <c r="C9" i="2"/>
  <c r="P8" i="2"/>
  <c r="O8" i="2"/>
  <c r="N8" i="2"/>
  <c r="M8" i="2"/>
  <c r="L8" i="2"/>
  <c r="K8" i="2"/>
  <c r="J8" i="2"/>
  <c r="I8" i="2"/>
  <c r="H8" i="2"/>
  <c r="G8" i="2"/>
  <c r="F8" i="2"/>
  <c r="E8" i="2"/>
  <c r="R8" i="2" s="1"/>
  <c r="D8" i="2"/>
  <c r="C8" i="2"/>
  <c r="P7" i="2"/>
  <c r="O7" i="2"/>
  <c r="N7" i="2"/>
  <c r="M7" i="2"/>
  <c r="L7" i="2"/>
  <c r="K7" i="2"/>
  <c r="J7" i="2"/>
  <c r="I7" i="2"/>
  <c r="H7" i="2"/>
  <c r="G7" i="2"/>
  <c r="F7" i="2"/>
  <c r="E7" i="2"/>
  <c r="R7" i="2" s="1"/>
  <c r="D7" i="2"/>
  <c r="C7" i="2"/>
  <c r="P6" i="2"/>
  <c r="O6" i="2"/>
  <c r="N6" i="2"/>
  <c r="M6" i="2"/>
  <c r="L6" i="2"/>
  <c r="K6" i="2"/>
  <c r="J6" i="2"/>
  <c r="I6" i="2"/>
  <c r="H6" i="2"/>
  <c r="G6" i="2"/>
  <c r="F6" i="2"/>
  <c r="E6" i="2"/>
  <c r="R6" i="2" s="1"/>
  <c r="D6" i="2"/>
  <c r="C6" i="2"/>
  <c r="P5" i="2"/>
  <c r="O5" i="2"/>
  <c r="N5" i="2"/>
  <c r="M5" i="2"/>
  <c r="L5" i="2"/>
  <c r="K5" i="2"/>
  <c r="J5" i="2"/>
  <c r="I5" i="2"/>
  <c r="H5" i="2"/>
  <c r="G5" i="2"/>
  <c r="F5" i="2"/>
  <c r="E5" i="2"/>
  <c r="R5" i="2" s="1"/>
  <c r="D5" i="2"/>
  <c r="C5" i="2"/>
  <c r="P4" i="2"/>
  <c r="O4" i="2"/>
  <c r="N4" i="2"/>
  <c r="M4" i="2"/>
  <c r="L4" i="2"/>
  <c r="K4" i="2"/>
  <c r="J4" i="2"/>
  <c r="I4" i="2"/>
  <c r="H4" i="2"/>
  <c r="G4" i="2"/>
  <c r="F4" i="2"/>
  <c r="E4" i="2"/>
  <c r="R4" i="2" s="1"/>
  <c r="D4" i="2"/>
  <c r="C4" i="2"/>
  <c r="P3" i="2"/>
  <c r="O3" i="2"/>
  <c r="N3" i="2"/>
  <c r="M3" i="2"/>
  <c r="L3" i="2"/>
  <c r="K3" i="2"/>
  <c r="J3" i="2"/>
  <c r="I3" i="2"/>
  <c r="H3" i="2"/>
  <c r="G3" i="2"/>
  <c r="F3" i="2"/>
  <c r="E3" i="2"/>
  <c r="R3" i="2" s="1"/>
  <c r="D3" i="2"/>
  <c r="C3" i="2"/>
  <c r="P2" i="2"/>
  <c r="P21" i="2" s="1"/>
  <c r="O2" i="2"/>
  <c r="O21" i="2" s="1"/>
  <c r="N2" i="2"/>
  <c r="N21" i="2" s="1"/>
  <c r="M2" i="2"/>
  <c r="M21" i="2" s="1"/>
  <c r="L2" i="2"/>
  <c r="L21" i="2" s="1"/>
  <c r="K2" i="2"/>
  <c r="K21" i="2" s="1"/>
  <c r="J2" i="2"/>
  <c r="J21" i="2" s="1"/>
  <c r="I2" i="2"/>
  <c r="I21" i="2" s="1"/>
  <c r="H2" i="2"/>
  <c r="H21" i="2" s="1"/>
  <c r="G2" i="2"/>
  <c r="G21" i="2" s="1"/>
  <c r="F2" i="2"/>
  <c r="F21" i="2" s="1"/>
  <c r="E2" i="2"/>
  <c r="R2" i="2" s="1"/>
  <c r="D2" i="2"/>
  <c r="D21" i="2" s="1"/>
  <c r="C2" i="2"/>
  <c r="C21" i="2" s="1"/>
  <c r="B21" i="2"/>
  <c r="J18" i="1"/>
  <c r="J17" i="1"/>
  <c r="J16" i="1"/>
  <c r="J15" i="1"/>
  <c r="J14" i="1"/>
  <c r="J13" i="1"/>
  <c r="J12" i="1"/>
  <c r="J11" i="1"/>
  <c r="J10" i="1"/>
  <c r="J9" i="1"/>
  <c r="J8" i="1"/>
  <c r="J7" i="1"/>
  <c r="J19" i="1" s="1"/>
  <c r="J6" i="1"/>
  <c r="J5" i="1"/>
  <c r="J4" i="1"/>
  <c r="E21" i="2" l="1"/>
</calcChain>
</file>

<file path=xl/sharedStrings.xml><?xml version="1.0" encoding="utf-8"?>
<sst xmlns="http://schemas.openxmlformats.org/spreadsheetml/2006/main" count="513" uniqueCount="357">
  <si>
    <t>Source: Basílio et al.,(2022). A systematic review of the applications of multi-criteria decision aid methods</t>
  </si>
  <si>
    <t>Method</t>
  </si>
  <si>
    <t>Publication Time (Integrated/Hybrid Model)</t>
  </si>
  <si>
    <t>Hybrid Model</t>
  </si>
  <si>
    <t>New Technologies (Machine Learning)</t>
  </si>
  <si>
    <t>IEEE Xplore</t>
  </si>
  <si>
    <t>Scopus</t>
  </si>
  <si>
    <t>Springer</t>
  </si>
  <si>
    <t>WoS</t>
  </si>
  <si>
    <t>AHP</t>
  </si>
  <si>
    <t>1990-2021</t>
  </si>
  <si>
    <t>Engineering</t>
  </si>
  <si>
    <t>1995-2021</t>
  </si>
  <si>
    <t>Software engineering</t>
  </si>
  <si>
    <t>TOPSIS</t>
  </si>
  <si>
    <t>1991-2021</t>
  </si>
  <si>
    <t>Computer science</t>
  </si>
  <si>
    <t>2003-2021</t>
  </si>
  <si>
    <t>VIKOR</t>
  </si>
  <si>
    <t>2002–2021</t>
  </si>
  <si>
    <t>2009-2021</t>
  </si>
  <si>
    <t>PROMETHEE</t>
  </si>
  <si>
    <t>1989–2021</t>
  </si>
  <si>
    <t>2001-2021</t>
  </si>
  <si>
    <t>ANP</t>
  </si>
  <si>
    <t>2000–2021</t>
  </si>
  <si>
    <t>2006–2021</t>
  </si>
  <si>
    <t>ELECTRE</t>
  </si>
  <si>
    <t>1991–2021</t>
  </si>
  <si>
    <t>DEMATEL</t>
  </si>
  <si>
    <t>2007–2021</t>
  </si>
  <si>
    <t>2007-2021</t>
  </si>
  <si>
    <t>TODIM</t>
  </si>
  <si>
    <t>1999–2021</t>
  </si>
  <si>
    <t>2013-2021</t>
  </si>
  <si>
    <t>MULTIMOORA</t>
  </si>
  <si>
    <t>2011–2021</t>
  </si>
  <si>
    <t>2011-2021</t>
  </si>
  <si>
    <t>MACBETH</t>
  </si>
  <si>
    <t>1999-2021</t>
  </si>
  <si>
    <t>DRSA</t>
  </si>
  <si>
    <t>2012-2021</t>
  </si>
  <si>
    <t>WPM</t>
  </si>
  <si>
    <t>1997–2021</t>
  </si>
  <si>
    <t>2014-2021</t>
  </si>
  <si>
    <t>CBR</t>
  </si>
  <si>
    <t>1996–2021</t>
  </si>
  <si>
    <t>2006-2020</t>
  </si>
  <si>
    <t>FITRADEOFF</t>
  </si>
  <si>
    <t>2016–2021</t>
  </si>
  <si>
    <t>-</t>
  </si>
  <si>
    <t>PAPRIKA</t>
  </si>
  <si>
    <t>2014–2021</t>
  </si>
  <si>
    <t>2020</t>
  </si>
  <si>
    <t>Total</t>
  </si>
  <si>
    <t>Search Criteria to reach the recorded count on Software Engineering</t>
  </si>
  <si>
    <t>(("multi-attribute decision making" OR "madm" OR "mcda" OR "modm" OR "mcdm" OR "multi-criteria" OR "multi-criteria" OR "multiplecriteria") AND ("software engineer*") AND("ahp" OR {analytic hierarchy process}))</t>
  </si>
  <si>
    <t>(("multi-attribute decision making" OR "madm" OR "mcda" OR "modm" OR "mcdm" OR "multi-criteria" OR "multi-criteria" OR "multiplecriteria") AND ("software engineer*") AND("topsis"))</t>
  </si>
  <si>
    <t>(("multi-attribute decision making" OR "madm" OR "mcda" OR "modm" OR "mcdm" OR "multi-criteria" OR "multi-criteria" OR "multiplecriteria") AND ("software engineer*") AND("vikor"))</t>
  </si>
  <si>
    <t>(("multi-attribute decision making" OR "madm" OR "mcda" OR "modm" OR "mcdm" OR "multi-criteria" OR "multi-criteria" OR "multiplecriteria") AND ("software engineer*") AND("promethee"))</t>
  </si>
  <si>
    <t>(("multi-attribute decision making" OR "madm" OR "mcda" OR "modm" OR "mcdm" OR "multi-criteria" OR "multi-criteria" OR "multiplecriteria") AND ("software engineer*") AND("anp"))</t>
  </si>
  <si>
    <t>(("multi-attribute decision making" OR "madm" OR "mcda" OR "modm" OR "mcdm" OR "multi-criteria" OR "multi-criteria" OR "multiplecriteria") AND ("software engineer*") AND("electre"))</t>
  </si>
  <si>
    <t>(("multi-attribute decision making" OR "madm" OR "mcda" OR "modm" OR "mcdm" OR "multi-criteria" OR "multi-criteria" OR "multiplecriteria") AND ("software engineer*") AND("dematel"))</t>
  </si>
  <si>
    <t>(("multi-attribute decision making" OR "madm" OR "mcda" OR "modm" OR "mcdm" OR "multi-criteria" OR "multi-criteria" OR "multiplecriteria") AND ("software engineer*") AND("todim"))</t>
  </si>
  <si>
    <t>(("multi-attribute decision making" OR "madm" OR "mcda" OR "modm" OR "mcdm" OR "multi-criteria" OR "multi-criteria" OR "multiplecriteria") AND ("software engineer*") AND("multimoora"))</t>
  </si>
  <si>
    <t>(("multi-attribute decision making" OR "madm" OR "mcda" OR "modm" OR "mcdm" OR "multi-criteria" OR "multi-criteria" OR "multiplecriteria") AND ("software engineer*") AND("macbeth"))</t>
  </si>
  <si>
    <t>(("multi-attribute decision making" OR "madm" OR "mcda" OR "modm" OR "mcdm" OR "multi-criteria" OR "multi-criteria" OR "multiplecriteria") AND ("software engineer*") AND("drsa"))</t>
  </si>
  <si>
    <t>(("multi-attribute decision making" OR "madm" OR "mcda" OR "modm" OR "mcdm" OR "multi-criteria" OR "multi-criteria" OR "multiplecriteria") AND ("software engineer*") AND("wpm"))</t>
  </si>
  <si>
    <t>(("multi-attribute decision making" OR "madm" OR "mcda" OR "modm" OR "mcdm" OR "multi-criteria" OR "multi-criteria" OR "multiplecriteria") AND ("software engineer*") AND("cbr"))</t>
  </si>
  <si>
    <t>(("multi-attribute decision making" OR "madm" OR "mcda" OR "modm" OR "mcdm" OR "multi-criteria" OR "multi-criteria" OR "multiplecriteria") AND ("software engineer*") AND("fitradeoff"))</t>
  </si>
  <si>
    <t>(("multi-attribute decision making" OR "madm" OR "mcda" OR "modm" OR "mcdm" OR "multi-criteria" OR "multi-criteria" OR "multiplecriteria") AND ("software engineer*") AND("paprika"))</t>
  </si>
  <si>
    <t>Sub-Total</t>
  </si>
  <si>
    <t>Software Requirements</t>
  </si>
  <si>
    <t>Software Architecture</t>
  </si>
  <si>
    <t>Software Design</t>
  </si>
  <si>
    <t>Software Construction</t>
  </si>
  <si>
    <t>Software Testing</t>
  </si>
  <si>
    <t>Software Engineering Operations</t>
  </si>
  <si>
    <t>Software Maintenance</t>
  </si>
  <si>
    <t>Software Configuration Management</t>
  </si>
  <si>
    <t>Software Engineering Management</t>
  </si>
  <si>
    <t>Software Engineering Models and Methods</t>
  </si>
  <si>
    <t>Software Engineering Process</t>
  </si>
  <si>
    <t>Software Quality</t>
  </si>
  <si>
    <t>Software Security</t>
  </si>
  <si>
    <t>Software Engineering Economics</t>
  </si>
  <si>
    <t>Software Engineering Professional Practice</t>
  </si>
  <si>
    <t>Computing Foundations</t>
  </si>
  <si>
    <t>Mathematical Foundations</t>
  </si>
  <si>
    <t>Engineering Foundations</t>
  </si>
  <si>
    <t>Sub-Total (bearing in mind that the same paper can be connected with several Knowledge areas)</t>
  </si>
  <si>
    <t>Document Title</t>
  </si>
  <si>
    <t>Requirements</t>
  </si>
  <si>
    <t>Architecture</t>
  </si>
  <si>
    <t>Design</t>
  </si>
  <si>
    <t>Construction</t>
  </si>
  <si>
    <t>Testing</t>
  </si>
  <si>
    <t>Engineering Operations</t>
  </si>
  <si>
    <t>Maintenance</t>
  </si>
  <si>
    <t>Configuration Management</t>
  </si>
  <si>
    <t>Engineering Management</t>
  </si>
  <si>
    <t>Engineering Models and Methods</t>
  </si>
  <si>
    <t>Engineering Process</t>
  </si>
  <si>
    <t>Quality</t>
  </si>
  <si>
    <t>Security</t>
  </si>
  <si>
    <t>Engineering Economics</t>
  </si>
  <si>
    <t>Engineering Professional Practice</t>
  </si>
  <si>
    <t>A comparison of two multi-criteria decision-making techniques</t>
  </si>
  <si>
    <t>A Component Selection Framework for COTS Libraries</t>
  </si>
  <si>
    <t>A decision analysis approach for selecting software defect prediction method in the early phases</t>
  </si>
  <si>
    <t>A Framework for Selection of SAAS by Evaluating the Quality of Freemium Model</t>
  </si>
  <si>
    <t>A Framework for Software Quality Model Selection using TOPSIS</t>
  </si>
  <si>
    <t>A Fuzzy AHP and TOPSIS Approach for Web Service Selection</t>
  </si>
  <si>
    <t>A Fuzzy AHP Approach to Network Selection Improvement in Heterogeneous Wireless Networks</t>
  </si>
  <si>
    <t>A Fuzzy Decision Support Approach for Model-Based Tradeoff Analysis of Non-Functional Requirements</t>
  </si>
  <si>
    <t>A Fuzzy Multi Criteria Decision Making Approach to Software Life Cycle Model Selection</t>
  </si>
  <si>
    <t>A Heuristic Approach to Dynamically Update Approximations of Dominance Based Rough Set Theory</t>
  </si>
  <si>
    <t>A hybrid approach to automatic IaaS service selection</t>
  </si>
  <si>
    <t>A Hybrid Fuzzy Outranking Approach for Group Decision-Making under Uncertainty</t>
  </si>
  <si>
    <t>A hybrid multi-criteria decision making algorithm for cloud service selection</t>
  </si>
  <si>
    <t>A hybrid technique for evaluating the trust of cloud services</t>
  </si>
  <si>
    <t>A Lightweight Value-based Software Architecture Evaluation</t>
  </si>
  <si>
    <t>A Machine Learning Model Comparison and Selection Framework for Software Defect Prediction Using VIKOR</t>
  </si>
  <si>
    <t>A mathematical programming approach to quantify structural complexity of a conceptual model</t>
  </si>
  <si>
    <t>A Model Driven Approach for Personalizing Data Source Selection in Mediation Systems</t>
  </si>
  <si>
    <t>A Model Proposal for Usability Scoring of Websites</t>
  </si>
  <si>
    <t>A multi criteria group decision making approach for collaborative software selection problem</t>
  </si>
  <si>
    <t>A multi-attribute decision making approach for on-demand charging scheduling in wireless rechargeable sensor networks</t>
  </si>
  <si>
    <t>A Multi-Criteria Approach for Assessing Cloud Deployment Options Based on Non-Functional Requirements</t>
  </si>
  <si>
    <t>A Multi-criteria Decision Making Framework for Real Time Model-Based Testing</t>
  </si>
  <si>
    <t>A Multi-criteria Model Application in the Prioritization of Processes for Automation in the Scenario of Intelligence and Investigation Units</t>
  </si>
  <si>
    <t>A Multi-criteria Model for Planning and Fine-Tuning Distributed Scrum Projects</t>
  </si>
  <si>
    <t>A novel CRITIC-TOPSIS approach for optimal selection of software reliability growth model (SRGM)</t>
  </si>
  <si>
    <t>A novel fuzzy mechanism for risk assessment in software projects</t>
  </si>
  <si>
    <t>A Novel Hybrid MADM Based Competence Set Expansions of a SOC Design Service Firm</t>
  </si>
  <si>
    <t>A Novel Software Package Selection Method Using Teaching-Learning Based Optimization and Multiple Criteria Decision Making</t>
  </si>
  <si>
    <t>A Performance Evaluation Model for Project Management Office Based on a Multicriteria Approach</t>
  </si>
  <si>
    <t>A Practical Approach for Evaluating and Prioritizing Situational Factors in Global Software Project Development</t>
  </si>
  <si>
    <t>A Proposed Requirements Prioritization Model Based on Cost-Value Approach with Collaboration Perspective</t>
  </si>
  <si>
    <t>A QoS Oriented Broker System for Autonomic Web Services Selection</t>
  </si>
  <si>
    <t>A Quality Performance Model for Cost-Benefit Analysis of Non-functional Requirements Applied to the Mobile Handset Domain</t>
  </si>
  <si>
    <t>A quality-driven decision-support method for identifying software architecture candidates</t>
  </si>
  <si>
    <t>A real options approach for software development projects using fuzzy electre</t>
  </si>
  <si>
    <t>A Roadmap for Migration System-Architecture Decision by Neutrosophic-ANP and Benchmark for Enterprise Resource Planning Systems</t>
  </si>
  <si>
    <t>A robust decision-making methodology for evaluation and selection of simulation software package</t>
  </si>
  <si>
    <t>A rough-set based approach for the prioritization of software requirements</t>
  </si>
  <si>
    <t>A simplified measurement scheme for software quality</t>
  </si>
  <si>
    <t>A Structured Comparison of the Corporate Information Security Maturity Level</t>
  </si>
  <si>
    <t>A Survey of Enterprise Architecture Analysis Using Multi Criteria Decision Making Models (MCDM)</t>
  </si>
  <si>
    <t>A systematic approach for solving the wicked problem of software release planning</t>
  </si>
  <si>
    <t>A user centric service-oriented modeling approach</t>
  </si>
  <si>
    <t>A Wish List for Requirements Engineering for COTS-Based Information Systems</t>
  </si>
  <si>
    <t>Agile trends in Chinese global software development industry: Fuzzy AHP based conceptual mapping</t>
  </si>
  <si>
    <t>Aiding Team Leader Selection in Software Industry Using Fuzzy-TOPSIS Approach</t>
  </si>
  <si>
    <t>An AHP/TOPSIS-Based Approach for an Optimal Site Selection of a Commercial Opening Utilizing GeoSpatial Data</t>
  </si>
  <si>
    <t>An Approach for Prioritizing Software Features Based on Node Centrality in Probability Network</t>
  </si>
  <si>
    <t>An Empirical Investigation on Requirements Change Management Practices in Pakistani Agile Based Industry</t>
  </si>
  <si>
    <t>An Empirical Study on the Specification and Selection of Components Using Fuzzy Logic</t>
  </si>
  <si>
    <t>An Integrated Approach for Identifying Relevant Factors Influencing Software Development Productivity</t>
  </si>
  <si>
    <t>An intelligent handoff optimization algorithm for network selection in heterogeneous networks</t>
  </si>
  <si>
    <t>Analytic Hierarchy Process (AHP), Weighted Scoring Method (WSM), and Hybrid Knowledge Based System (HKBS) for Software Selection: A Comparative Study</t>
  </si>
  <si>
    <t>Analytical Hierarchical Process for Software Dependability</t>
  </si>
  <si>
    <t>Analyzing Relationships to the Quality Level between CMM and Six Sigma</t>
  </si>
  <si>
    <t>Application DANP with MCDM model to explore smartphone software</t>
  </si>
  <si>
    <t>Application multicriteria decision analysis on TV digital</t>
  </si>
  <si>
    <t>Application of deterministic, stochastic, and hybrid methods for cloud provider selection</t>
  </si>
  <si>
    <t>Application of Fuzzy DEMATEL Approach in Analyzing Mobile App Issues</t>
  </si>
  <si>
    <t>Application of the TOPSIS method to improve software efficiency and to optimize its management</t>
  </si>
  <si>
    <t>Applications of Multi-criteria Decision Making in Software Engineering</t>
  </si>
  <si>
    <t>Applying analytical hierarchy process to system quality requirements prioritization</t>
  </si>
  <si>
    <t>Applying Multi-Criteria Decision Analysis to Global Software Development with Scrum Project Planning</t>
  </si>
  <si>
    <t>Applying statistical approach to check the consistency of pairwise comparison matrices during software requirements prioritization process</t>
  </si>
  <si>
    <t>Assisted requirements selection by clustering</t>
  </si>
  <si>
    <t>Attribute Normalization Approaches to Group Decision-making and Application to Software Reliability Assessment</t>
  </si>
  <si>
    <t>Automated Requirements Elicitation for Global Software Development (GSD) Environment</t>
  </si>
  <si>
    <t>Autonomic computing based trustworthiness attributes weight estimation using Electre-Tri method</t>
  </si>
  <si>
    <t>Best Web Service Selection Based on the Decision Making Between QoS Criteria of Service</t>
  </si>
  <si>
    <t>Bridge the Gap between Software Test Process and Business Value: A Case Study</t>
  </si>
  <si>
    <t>CDNaaS Framework: TOPSIS as Multi-Criteria Decision Making for vCDN Migration</t>
  </si>
  <si>
    <t>Characterization and Evaluation of Multi-agent System Architectural Styles</t>
  </si>
  <si>
    <t>Classification Model of the Software Quality Level According to the User's Perception</t>
  </si>
  <si>
    <t>Cloud application architecture appraiser (CA3): A multicriteria approach and tool for assessing cloud deployment options based on nonfunctional requirements</t>
  </si>
  <si>
    <t>Cloud Service Selection Based on Variability Modeling</t>
  </si>
  <si>
    <t>Combining metrics for software evolution assessment by means of Data Envelopment Analysis</t>
  </si>
  <si>
    <t>Comparing AHP and ELECTRE I for prioritizing software requirements</t>
  </si>
  <si>
    <t>Comparison of the Most Popular Object-Oriented Software Languages and Criterions for Introductory Programming Courses With Analytic Network Process: A Pilot Study</t>
  </si>
  <si>
    <t>Concept selection of the automated inspection and maintenance test unit for the EU DEMO using a novel fuzzy-based decision support tool</t>
  </si>
  <si>
    <t>Considering Variabilities during Component Selection in Product Family Development</t>
  </si>
  <si>
    <t>Cost-Benefit Analysis of Using Dependency Knowledge at Integration Testing</t>
  </si>
  <si>
    <t>COTS Evaluation Using Desmet Methodology &amp; Analytic Hierarchy Process (AHP)</t>
  </si>
  <si>
    <t>Criteria Prioritization in Adaptive Security Activities Selection, ASAS Model using Analytic Network Process, ANP</t>
  </si>
  <si>
    <t>Data Access in Cloud HICM Solutions. An Ontology-Driven Analytic Hierarchy Process Based Approach</t>
  </si>
  <si>
    <t>Decentralized Business Process Modeling and Enactment: ICT Architecture Topologies and Decision Methods</t>
  </si>
  <si>
    <t>Decision making in cloud environments: an approach based on multiple-criteria decision analysis and stochastic models</t>
  </si>
  <si>
    <t>Decision Making with Uncertainty and Data Mining</t>
  </si>
  <si>
    <t>Decision model for identity management product selection using fuzzy AHP</t>
  </si>
  <si>
    <t>Decision-Support for Selecting Big Data Reference Architectures</t>
  </si>
  <si>
    <t>Design Science Research in Information Systems. Advances in Theory and Practice</t>
  </si>
  <si>
    <t>Domain-Based COTS-Product Selection Method</t>
  </si>
  <si>
    <t>Early Effort Estimation for Quality Requirements by AHP</t>
  </si>
  <si>
    <t>Effectiveness Evaluation of Humanware Service in Novel Decision System</t>
  </si>
  <si>
    <t>Empirical evaluation of code smells in open-source software (OSS) using Best Worst Method (BWM) and TOPSIS approach</t>
  </si>
  <si>
    <t>ERP software selection using intuitionistic fuzzy and interval grey number-based MACBETH method</t>
  </si>
  <si>
    <t>Estimating Development Effort for Software Architectural Tactics</t>
  </si>
  <si>
    <t>Evaluating Cloud Services Using a Multiple Criteria Decision Analysis Approach</t>
  </si>
  <si>
    <t>Evaluating Internet Information Search Channels Using Hybrid MCDM Technique</t>
  </si>
  <si>
    <t>Evaluating IoT Platforms Using Integrated Probabilistic Linguistic MCDM Method</t>
  </si>
  <si>
    <t>Evaluating Performance of Software Durability through an Integrated Fuzzy-Based Symmetrical Method of ANP and TOPSIS</t>
  </si>
  <si>
    <t>Evaluating Software Quality Attributes using Analytic Hierarchy Process (AHP)</t>
  </si>
  <si>
    <t>Evaluating vendor's performance in outsource software development risks using analytic hierarchy process technique</t>
  </si>
  <si>
    <t>Evaluation and selection of open-source EMR software packages based on integrated AHP and TOPSIS</t>
  </si>
  <si>
    <t>Evaluation of software development projects using a fuzzy multi-criteria decision approach</t>
  </si>
  <si>
    <t>Fault Exposure Upsetting Software Performance</t>
  </si>
  <si>
    <t>Fault-Detection Tactics for Optimized Embedded Systems Efficiency</t>
  </si>
  <si>
    <t>FOSSES: Framework for open-source software evaluation and selection</t>
  </si>
  <si>
    <t>Fuzzy analytic hierarchy process and analytic network process: An integrated fuzzy logarithmic preference programming</t>
  </si>
  <si>
    <t>Fuzzy attributed goal oriented software requirements analysis with multiple stakeholders</t>
  </si>
  <si>
    <t>Fuzzy Goal Programming for Multi-level Multi-objective Problem: An Additive Model</t>
  </si>
  <si>
    <t>Fuzzy multi-attribute decision making for software defect detection model evaluation</t>
  </si>
  <si>
    <t>Handling Conflicts in Aspectual Requirements Compositions</t>
  </si>
  <si>
    <t>Hierarchical Representation of Website Evaluation Model Using Survey andÂ Perceptual Based Criteria</t>
  </si>
  <si>
    <t>High Technology Service Value Maximization through an MCDM-Based Innovative e-Business Model</t>
  </si>
  <si>
    <t>How do we assess corporate IT governance with CMMI and DANP</t>
  </si>
  <si>
    <t>How to Reduce the Time Necessary for Evaluation of Tree-Based Models</t>
  </si>
  <si>
    <t>Hybrid assessment method for software engineering decisions</t>
  </si>
  <si>
    <t>Hybrid computational modeling for web application security assessment</t>
  </si>
  <si>
    <t>Identification and Evaluation of Factors Influencing Software Quality using Pythagorean Fuzzy DEMATEL Approach</t>
  </si>
  <si>
    <t>Identifying critical success factors in EDA industry using DEMATEL method</t>
  </si>
  <si>
    <t>Implementation of Analytical Hierarchy Process in Detecting Structural Code Clones</t>
  </si>
  <si>
    <t>Implementing weighted entropy-distance based approach for the selection of software reliability growth models</t>
  </si>
  <si>
    <t>Improved practical support for large-scale requirements prioritising</t>
  </si>
  <si>
    <t>Improving Case Based Software Effort Estimation Using a Multi-criteria Decision Technique</t>
  </si>
  <si>
    <t>Improving the Analytic Hierarchy Process for Requirements Prioritization Using Evolutionary Computing</t>
  </si>
  <si>
    <t>Integrating fuzzy theory and hierarchy concepts to evaluate software quality</t>
  </si>
  <si>
    <t>Integration of FAHP and COPRAS-G for Software Component Selection</t>
  </si>
  <si>
    <t>Locating Usability Critical Factors for Mobile Applications Using ELECTRE-TRI Method</t>
  </si>
  <si>
    <t>Machine Learning Techniques for Software Maintainability Prediction: Accuracy Analysis</t>
  </si>
  <si>
    <t>Managing Imprecise Criteria in Cloud Service Ranking with a Fuzzy Multi-criteria Decision Making Method</t>
  </si>
  <si>
    <t>Matching terms of quality models and meta-models: toward a unified meta-model of OSS quality</t>
  </si>
  <si>
    <t>MCDM Model for Selecting Internet Access Technologies - A Case Study in Mozambique</t>
  </si>
  <si>
    <t>MC-DMN: Meeting MCDM with DMN Involving Multi-criteria Decision-Making in Business Process</t>
  </si>
  <si>
    <t>Metrics for measuring the consistencies of requirements with objectives and constraints</t>
  </si>
  <si>
    <t>Model-driven development platform selection: four industry case studies</t>
  </si>
  <si>
    <t>Modeling and reasoning about uncertainty in goal models: a decision-theoretic approach</t>
  </si>
  <si>
    <t>Modelling of Non-linear Multi-objective Programming and TOPSIS in Software Quality Assessment Under Picture Fuzzy Framework</t>
  </si>
  <si>
    <t>Multi Criteria Selection of Components Using the Analytic Hierarchy Process</t>
  </si>
  <si>
    <t>Multi-agent System Using Scrum Methodology for Software Process Management</t>
  </si>
  <si>
    <t>Multicriteria decision aid for agile methods evaluation using fuzzy PROMETHEE</t>
  </si>
  <si>
    <t>Multi-criteria decision analysis for customization of Estimation by Analogy method AQUA+</t>
  </si>
  <si>
    <t>Multidimensional Spatial Decision-Making Process: Local Shared Values in Action</t>
  </si>
  <si>
    <t>Multi-objective Release Time Problem for Modular Software using Fuzzy Analytical Hierarchy Process</t>
  </si>
  <si>
    <t>Neutrosophic AHP Approach for Budget Constrained Reliability Allocation Among Modules of Software System</t>
  </si>
  <si>
    <t>Novel Approach for Mobile Based App Development Incorporating MAAF</t>
  </si>
  <si>
    <t>Novel Multi Security and Privacy Benchmarking Framework for Blockchain-Based IoT Healthcare Industry 4.0 Systems</t>
  </si>
  <si>
    <t>Novel Multiperspective Hiring Framework for the Selection of Software Programmer Applicants Based on AHP and Group TOPSIS Techniques</t>
  </si>
  <si>
    <t>On the use of the analytic hierarchy process in the evaluation of domain-specific modeling languages for multi-agent systems</t>
  </si>
  <si>
    <t>On Web Service Quality Using Multi-criteria Decision-Making and Fuzzy Inference Methods</t>
  </si>
  <si>
    <t>Optimal Composition of Services for Intelligent Systems Using TOPSIS</t>
  </si>
  <si>
    <t>Optimization Methods in Crises: Patterns and Practices</t>
  </si>
  <si>
    <t>Optimizing bug report assignment using multi criteria decision making technique</t>
  </si>
  <si>
    <t>Optimizing Decisions in Web Services Orchestrations</t>
  </si>
  <si>
    <t>Optimizing quality levels and development costs for developing an integrated information security system</t>
  </si>
  <si>
    <t>Parallel Cloud Service Selection and Ranking Based on QoS History</t>
  </si>
  <si>
    <t>Performance Efficiency Assessment for Software Systems</t>
  </si>
  <si>
    <t>Predicting suitable agile method using fuzzy AHP</t>
  </si>
  <si>
    <t>Preference coalition formation algorithm for buyer coalition</t>
  </si>
  <si>
    <t>Prioritization Based Taxonomy of DevOps Security Challenges Using PROMETHEE</t>
  </si>
  <si>
    <t>Prioritizing the Issues extracted for Getting Right People on Right Project in Software Project Management From Vendors' Perspective</t>
  </si>
  <si>
    <t>Project and analyst and software engineer ranking and job assignment problem solution in software development projects with fuzzy multi criteria decision making techniques</t>
  </si>
  <si>
    <t>Project Portfolio Management in Small Context in Software Industry: A Systematic Literature Review</t>
  </si>
  <si>
    <t>PROMETHEE based component evaluation and selection for Component Based Software Engineering</t>
  </si>
  <si>
    <t>QATCH - An adaptive framework for software product quality assessment</t>
  </si>
  <si>
    <t>Qualified Analysis b/w ESB(s) Using Analytical Hierarchy Process (AHP) Method</t>
  </si>
  <si>
    <t>Quality attributes use in architecture design decision methods: research and practice</t>
  </si>
  <si>
    <t>Quality Evaluation of Cloud Services Using MCDM Techniques: A Comparative Analysis</t>
  </si>
  <si>
    <t>Quality specification and metrication, results from a case-study in a mission-critical software domain</t>
  </si>
  <si>
    <t>Quantum computing challenges in the software industry. A fuzzy AHP-based approach</t>
  </si>
  <si>
    <t>Ranking and selection of commercial off-the-shelf using fuzzy distance based approach</t>
  </si>
  <si>
    <t>Ranking of components for reliability estimation of CBSS using fuzzy TOPSIS</t>
  </si>
  <si>
    <t>Ranking of Multi-release Software Reliability Growth Model Using Weighted Distance-Based Approach</t>
  </si>
  <si>
    <t>Ranking of services for reliability estimation of SOA system using fuzzy multicriteria analysis with similarity-based approach</t>
  </si>
  <si>
    <t>Ranking web service for high quality by applying improved Entropy-TOPSIS method</t>
  </si>
  <si>
    <t>Reliability evaluation of software system using AHP and fuzzy TOPSIS approach</t>
  </si>
  <si>
    <t>Representing and reasoning about preferences in requirements engineering</t>
  </si>
  <si>
    <t>Requirements Risk Estimation Using TOPSIS Method</t>
  </si>
  <si>
    <t>SCARLET: Integrated Process and Tool Support for Selecting Software Components</t>
  </si>
  <si>
    <t>Selecting CRM packages based on architectural, functional, and cost requirements: Empirical validation of a hierarchical ranking model</t>
  </si>
  <si>
    <t>Selecting Project Communication Management Software Using the Weighted Regularized Hasse Method</t>
  </si>
  <si>
    <t>Selecting the most appropriate web IDE for learning programming using AHP</t>
  </si>
  <si>
    <t>Selection of Best Software Methodology Using Entropy and TOPSIS</t>
  </si>
  <si>
    <t>Selection of framework for implementing agile in software industry by fuzzy AHP approach</t>
  </si>
  <si>
    <t>Selection of software development model using TOPSIS methodology</t>
  </si>
  <si>
    <t>Service feature modeling: modeling and participatory ranking of service design alternatives</t>
  </si>
  <si>
    <t>Skills evaluation of junior-level software talents</t>
  </si>
  <si>
    <t>Soft Computing Technique Based Call Admission Control Decision Mechanism</t>
  </si>
  <si>
    <t>Software effort estimation using FAHP and weighted kernel LSSVM machine</t>
  </si>
  <si>
    <t>Software obsolescence risk assessment approach using multicriteria decision-making</t>
  </si>
  <si>
    <t>Software release planning for evolving systems</t>
  </si>
  <si>
    <t>Software reliability allocation incorporating Pythagorean fuzzy theory and AHP</t>
  </si>
  <si>
    <t>Software requirement prioritization using fuzzy multi-attribute decision making</t>
  </si>
  <si>
    <t>Software-as-a-Service evaluation in cloud paradigm: Primitive cognitive network process approach</t>
  </si>
  <si>
    <t>SOHCO: A Strategy for Constructing Efficient Teams</t>
  </si>
  <si>
    <t>SQME: a framework for modeling and evaluation of software architecture quality attributes</t>
  </si>
  <si>
    <t>STACE: Social Technical Approach to COTS Software Evaluation</t>
  </si>
  <si>
    <t>State of the practice for mesh generation and mesh processing software</t>
  </si>
  <si>
    <t>Suitability of Software Architecture Decision Making Methods for Group Decisions</t>
  </si>
  <si>
    <t>Supplier selection service-case study UTB</t>
  </si>
  <si>
    <t>Task allocation and coordination in distributed agile software development: a systematic review</t>
  </si>
  <si>
    <t>Taxonomical classification of barriers for scaling agile methods in global software development environment using fuzzy analytic hierarchy process</t>
  </si>
  <si>
    <t>Testing Resource Allocation for Software System: An Approach Integrating MEMV-OWA and DEMATEL</t>
  </si>
  <si>
    <t>The adopting factors of campus mobile software applications</t>
  </si>
  <si>
    <t>The Development of Software Evaluation and Selection Framework for Supporting COTS-Based Systems: The Theoretical Framework</t>
  </si>
  <si>
    <t>The Error Analysis for Enterprise Software Application Using Analytic Hierarchy Process and Supervised Learning: A Hybrid Approach on Root Cause Analysis</t>
  </si>
  <si>
    <t>The evaluation of software trustworthiness with FAHP and FTOPSIS methods</t>
  </si>
  <si>
    <t>The Limitations of Current Decision-Making Techniques in the Procurement of COTS Software Components</t>
  </si>
  <si>
    <t>THE SELECTION OF COMPUTER-AIDED SOFTWARE ENGINEERING TOOLS - A MULTICRITERIA DECISION-MAKING APPROACH</t>
  </si>
  <si>
    <t>Theoretical Aspects of Consumer Metrics for Safety &amp; Privacy</t>
  </si>
  <si>
    <t>TOOLS FOR SELECTING A SOFTWARE DEVELOPMENT METHODOLOGY TAKING INTO ACCOUNT PROJECT CHARACTERISTICS</t>
  </si>
  <si>
    <t>Toward a Model of Emotion and Its Contagion Influences on Agile Development for Defense Applications</t>
  </si>
  <si>
    <t>Toward a Multi-Criteria Framework for Selecting Software Testing Tools</t>
  </si>
  <si>
    <t>Towards a Framework for Building Adaptive App-Based Web Applications Using Dynamic Appification</t>
  </si>
  <si>
    <t>Towards an efficient risk assessment in software projects-Fuzzy reinforcement paradigm</t>
  </si>
  <si>
    <t>Towards Linguistic-based Evaluation System of Cloud Software as a Service (SaaS) Provider</t>
  </si>
  <si>
    <t>UML and NFR-framework based method for the analysis of the requirements of an information system</t>
  </si>
  <si>
    <t>Understanding requirement prioritization artifacts: a systematic mapping study</t>
  </si>
  <si>
    <t>Usability Evaluation through Fuzzy AHP-TOPSIS Approach: Security Requirement Perspective</t>
  </si>
  <si>
    <t>Using ELECTRE TRI Outranking Method to Evaluate Trustworthy Software</t>
  </si>
  <si>
    <t>Using Informal Knowledge for Improving Software Quality Trade-Off Decisions</t>
  </si>
  <si>
    <t>Validation of agile methodology as ideal software development process using Fuzzy-TOPSIS method</t>
  </si>
  <si>
    <t>Visualization, Monitoring and Control Techniques for Use in Scrum Software Development: An Analytic Hierarchy Process Approach</t>
  </si>
  <si>
    <t>Weighted software metrics aggregation and its application to defect prediction</t>
  </si>
  <si>
    <t>Recorded count for each SWEBOK guide V4 knowledge area</t>
  </si>
  <si>
    <t>A
Method</t>
  </si>
  <si>
    <t>B
Publication Time</t>
  </si>
  <si>
    <t>C 
Recorded Count (all fields)</t>
  </si>
  <si>
    <t>E
Recorded Count (in specific field indicated in previous column)</t>
  </si>
  <si>
    <t>F
Research Area In which this work focuses</t>
  </si>
  <si>
    <t xml:space="preserve">H
Recorded Count Software Engineering </t>
  </si>
  <si>
    <t>G
Recorded Count In Software Engineering</t>
  </si>
  <si>
    <t>D
Research Areas In Which The Method Has Been Mainly Used</t>
  </si>
  <si>
    <t>Publication Time</t>
  </si>
  <si>
    <t>Total Recorded Count in Software Engineering</t>
  </si>
  <si>
    <t>1990-2023</t>
  </si>
  <si>
    <t>1991-2023</t>
  </si>
  <si>
    <t>1991–2023</t>
  </si>
  <si>
    <t>1989–2023</t>
  </si>
  <si>
    <t>2000–2023</t>
  </si>
  <si>
    <t>2007–2023</t>
  </si>
  <si>
    <t>2002–2023</t>
  </si>
  <si>
    <t>1999–2023</t>
  </si>
  <si>
    <t>1996–2023</t>
  </si>
  <si>
    <t>1997–2023</t>
  </si>
  <si>
    <t>2016–2023</t>
  </si>
  <si>
    <t>2011–2023</t>
  </si>
  <si>
    <t>2014–2023</t>
  </si>
  <si>
    <t>TOTAL</t>
  </si>
  <si>
    <t>Recorded Count 
Software Engineering on each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</si>
</sst>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3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1" fillId="2" borderId="1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2" fillId="0" borderId="1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0" fillId="0" borderId="11" xfId="0" applyFont="1" applyBorder="1" applyAlignment="1"/>
    <xf numFmtId="0" fontId="2" fillId="0" borderId="1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3" borderId="0" xfId="0" applyFont="1" applyFill="1" applyAlignment="1"/>
  </cellXfs>
  <cellStyles count="1">
    <cellStyle name="Normal" xfId="0" builtinId="0"/>
  </cellStyles>
  <dxfs count="23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Areas-style" pivot="0" count="4" xr9:uid="{00000000-0011-0000-FFFF-FFFF00000000}">
      <tableStyleElement type="headerRow" dxfId="22"/>
      <tableStyleElement type="total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19" headerRowDxfId="18" dataDxfId="17" totalsRowDxfId="16">
  <tableColumns count="16">
    <tableColumn id="1" xr3:uid="{00000000-0010-0000-0000-000001000000}" name="Recorded count for each SWEBOK guide V4 knowledge area" dataDxfId="15"/>
    <tableColumn id="2" xr3:uid="{00000000-0010-0000-0000-000002000000}" name="AHP" dataDxfId="14"/>
    <tableColumn id="3" xr3:uid="{00000000-0010-0000-0000-000003000000}" name="TOPSIS" dataDxfId="13"/>
    <tableColumn id="4" xr3:uid="{00000000-0010-0000-0000-000004000000}" name="VIKOR" dataDxfId="12"/>
    <tableColumn id="5" xr3:uid="{00000000-0010-0000-0000-000005000000}" name="PROMETHEE" dataDxfId="11"/>
    <tableColumn id="6" xr3:uid="{00000000-0010-0000-0000-000006000000}" name="ANP" dataDxfId="10"/>
    <tableColumn id="7" xr3:uid="{00000000-0010-0000-0000-000007000000}" name="ELECTRE" dataDxfId="9"/>
    <tableColumn id="8" xr3:uid="{00000000-0010-0000-0000-000008000000}" name="DEMATEL" dataDxfId="8"/>
    <tableColumn id="9" xr3:uid="{00000000-0010-0000-0000-000009000000}" name="TODIM" dataDxfId="7"/>
    <tableColumn id="10" xr3:uid="{00000000-0010-0000-0000-00000A000000}" name="MULTIMOORA" dataDxfId="6"/>
    <tableColumn id="11" xr3:uid="{00000000-0010-0000-0000-00000B000000}" name="MACBETH" dataDxfId="5"/>
    <tableColumn id="12" xr3:uid="{00000000-0010-0000-0000-00000C000000}" name="DRSA" dataDxfId="4"/>
    <tableColumn id="13" xr3:uid="{00000000-0010-0000-0000-00000D000000}" name="WPM" dataDxfId="3"/>
    <tableColumn id="14" xr3:uid="{00000000-0010-0000-0000-00000E000000}" name="CBR" dataDxfId="2"/>
    <tableColumn id="15" xr3:uid="{00000000-0010-0000-0000-00000F000000}" name="FITRADEOFF" dataDxfId="1"/>
    <tableColumn id="16" xr3:uid="{00000000-0010-0000-0000-000010000000}" name="PAPRIKA" dataDxfId="0"/>
  </tableColumns>
  <tableStyleInfo name="Are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2"/>
  <sheetViews>
    <sheetView workbookViewId="0">
      <selection activeCell="A4" sqref="A4"/>
    </sheetView>
  </sheetViews>
  <sheetFormatPr baseColWidth="10" defaultColWidth="14.42578125" defaultRowHeight="15" customHeight="1"/>
  <cols>
    <col min="1" max="1" width="13.28515625" customWidth="1"/>
    <col min="2" max="2" width="18.5703125" customWidth="1"/>
    <col min="3" max="3" width="16.140625" hidden="1" customWidth="1"/>
    <col min="4" max="4" width="28.85546875" hidden="1" customWidth="1"/>
    <col min="5" max="5" width="30.140625" hidden="1" customWidth="1"/>
    <col min="6" max="6" width="22.5703125" hidden="1" customWidth="1"/>
    <col min="7" max="7" width="12.42578125" hidden="1" customWidth="1"/>
    <col min="8" max="8" width="33.42578125" hidden="1" customWidth="1"/>
    <col min="9" max="9" width="25.42578125" hidden="1" customWidth="1"/>
    <col min="10" max="10" width="21.5703125" customWidth="1"/>
    <col min="11" max="11" width="10.85546875" customWidth="1"/>
    <col min="12" max="12" width="7" customWidth="1"/>
    <col min="13" max="13" width="8" customWidth="1"/>
    <col min="14" max="14" width="4.85546875" customWidth="1"/>
    <col min="15" max="19" width="8.85546875" customWidth="1"/>
    <col min="20" max="20" width="16.42578125" customWidth="1"/>
    <col min="21" max="21" width="14.28515625" customWidth="1"/>
    <col min="22" max="24" width="8.85546875" customWidth="1"/>
    <col min="25" max="25" width="21" customWidth="1"/>
    <col min="26" max="29" width="8.85546875" customWidth="1"/>
  </cols>
  <sheetData>
    <row r="1" spans="1:25" ht="14.25" customHeight="1" thickBot="1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5" s="23" customFormat="1" ht="69" customHeight="1">
      <c r="A2" s="38" t="s">
        <v>332</v>
      </c>
      <c r="B2" s="38" t="s">
        <v>333</v>
      </c>
      <c r="C2" s="38" t="s">
        <v>334</v>
      </c>
      <c r="D2" s="38" t="s">
        <v>339</v>
      </c>
      <c r="E2" s="38" t="s">
        <v>335</v>
      </c>
      <c r="F2" s="38" t="s">
        <v>2</v>
      </c>
      <c r="G2" s="38" t="s">
        <v>3</v>
      </c>
      <c r="H2" s="38" t="s">
        <v>4</v>
      </c>
      <c r="I2" s="38" t="s">
        <v>336</v>
      </c>
      <c r="J2" s="38" t="s">
        <v>338</v>
      </c>
      <c r="K2" s="42" t="s">
        <v>337</v>
      </c>
      <c r="L2" s="43"/>
      <c r="M2" s="43"/>
      <c r="N2" s="44"/>
      <c r="S2" s="50" t="s">
        <v>1</v>
      </c>
      <c r="T2" s="50" t="s">
        <v>340</v>
      </c>
      <c r="U2" s="50" t="s">
        <v>341</v>
      </c>
      <c r="V2" s="55" t="s">
        <v>356</v>
      </c>
      <c r="W2" s="54"/>
      <c r="X2" s="54"/>
      <c r="Y2" s="53"/>
    </row>
    <row r="3" spans="1:25" ht="24.75" customHeight="1" thickBot="1">
      <c r="A3" s="39"/>
      <c r="B3" s="40"/>
      <c r="C3" s="41"/>
      <c r="D3" s="41"/>
      <c r="E3" s="41"/>
      <c r="F3" s="41"/>
      <c r="G3" s="41"/>
      <c r="H3" s="41"/>
      <c r="I3" s="41"/>
      <c r="J3" s="41"/>
      <c r="K3" s="5" t="s">
        <v>5</v>
      </c>
      <c r="L3" s="5" t="s">
        <v>6</v>
      </c>
      <c r="M3" s="5" t="s">
        <v>7</v>
      </c>
      <c r="N3" s="5" t="s">
        <v>8</v>
      </c>
      <c r="S3" s="51"/>
      <c r="T3" s="51"/>
      <c r="U3" s="51"/>
      <c r="V3" s="57"/>
      <c r="W3" s="56"/>
      <c r="X3" s="56"/>
      <c r="Y3" s="58"/>
    </row>
    <row r="4" spans="1:25" ht="15" customHeight="1" thickBot="1">
      <c r="A4" s="30" t="s">
        <v>9</v>
      </c>
      <c r="B4" s="30" t="s">
        <v>10</v>
      </c>
      <c r="C4" s="30">
        <v>6835</v>
      </c>
      <c r="D4" s="30" t="s">
        <v>11</v>
      </c>
      <c r="E4" s="30">
        <v>2329</v>
      </c>
      <c r="F4" s="31" t="s">
        <v>12</v>
      </c>
      <c r="G4" s="30">
        <v>1388</v>
      </c>
      <c r="H4" s="30">
        <v>38</v>
      </c>
      <c r="I4" s="30" t="s">
        <v>13</v>
      </c>
      <c r="J4" s="30">
        <f t="shared" ref="J4:J18" si="0">K4+L4+M4+N4</f>
        <v>237</v>
      </c>
      <c r="K4" s="6">
        <v>23</v>
      </c>
      <c r="L4" s="6">
        <v>41</v>
      </c>
      <c r="M4" s="6">
        <v>128</v>
      </c>
      <c r="N4" s="6">
        <v>45</v>
      </c>
      <c r="S4" s="52"/>
      <c r="T4" s="52"/>
      <c r="U4" s="52"/>
      <c r="V4" s="45" t="s">
        <v>5</v>
      </c>
      <c r="W4" s="45" t="s">
        <v>6</v>
      </c>
      <c r="X4" s="45" t="s">
        <v>7</v>
      </c>
      <c r="Y4" s="45" t="s">
        <v>8</v>
      </c>
    </row>
    <row r="5" spans="1:25" ht="14.25" customHeight="1" thickBot="1">
      <c r="A5" s="30" t="s">
        <v>14</v>
      </c>
      <c r="B5" s="30" t="s">
        <v>15</v>
      </c>
      <c r="C5" s="30">
        <v>4907</v>
      </c>
      <c r="D5" s="30" t="s">
        <v>16</v>
      </c>
      <c r="E5" s="30">
        <v>1797</v>
      </c>
      <c r="F5" s="31" t="s">
        <v>17</v>
      </c>
      <c r="G5" s="30">
        <v>1024</v>
      </c>
      <c r="H5" s="30">
        <v>47</v>
      </c>
      <c r="I5" s="30" t="s">
        <v>13</v>
      </c>
      <c r="J5" s="30">
        <f t="shared" si="0"/>
        <v>84</v>
      </c>
      <c r="K5" s="6">
        <v>16</v>
      </c>
      <c r="L5" s="6">
        <v>15</v>
      </c>
      <c r="M5" s="6">
        <v>20</v>
      </c>
      <c r="N5" s="6">
        <v>33</v>
      </c>
      <c r="S5" s="46" t="s">
        <v>9</v>
      </c>
      <c r="T5" s="47" t="s">
        <v>342</v>
      </c>
      <c r="U5" s="47">
        <v>237</v>
      </c>
      <c r="V5" s="47">
        <v>23</v>
      </c>
      <c r="W5" s="47">
        <v>41</v>
      </c>
      <c r="X5" s="47">
        <v>128</v>
      </c>
      <c r="Y5" s="47">
        <v>45</v>
      </c>
    </row>
    <row r="6" spans="1:25" ht="14.25" customHeight="1" thickBot="1">
      <c r="A6" s="30" t="s">
        <v>18</v>
      </c>
      <c r="B6" s="30" t="s">
        <v>19</v>
      </c>
      <c r="C6" s="30">
        <v>1475</v>
      </c>
      <c r="D6" s="30" t="s">
        <v>16</v>
      </c>
      <c r="E6" s="30">
        <v>519</v>
      </c>
      <c r="F6" s="31" t="s">
        <v>20</v>
      </c>
      <c r="G6" s="30">
        <v>416</v>
      </c>
      <c r="H6" s="30">
        <v>5</v>
      </c>
      <c r="I6" s="30" t="s">
        <v>13</v>
      </c>
      <c r="J6" s="30">
        <f t="shared" si="0"/>
        <v>11</v>
      </c>
      <c r="K6" s="6">
        <v>0</v>
      </c>
      <c r="L6" s="6">
        <v>2</v>
      </c>
      <c r="M6" s="6">
        <v>9</v>
      </c>
      <c r="N6" s="6">
        <v>0</v>
      </c>
      <c r="S6" s="46" t="s">
        <v>14</v>
      </c>
      <c r="T6" s="47" t="s">
        <v>343</v>
      </c>
      <c r="U6" s="47">
        <v>84</v>
      </c>
      <c r="V6" s="47">
        <v>16</v>
      </c>
      <c r="W6" s="47">
        <v>15</v>
      </c>
      <c r="X6" s="47">
        <v>20</v>
      </c>
      <c r="Y6" s="47">
        <v>33</v>
      </c>
    </row>
    <row r="7" spans="1:25" ht="14.25" customHeight="1" thickBot="1">
      <c r="A7" s="30" t="s">
        <v>21</v>
      </c>
      <c r="B7" s="30" t="s">
        <v>22</v>
      </c>
      <c r="C7" s="30">
        <v>1382</v>
      </c>
      <c r="D7" s="30" t="s">
        <v>11</v>
      </c>
      <c r="E7" s="30">
        <v>445</v>
      </c>
      <c r="F7" s="31" t="s">
        <v>23</v>
      </c>
      <c r="G7" s="30">
        <v>202</v>
      </c>
      <c r="H7" s="30">
        <v>16</v>
      </c>
      <c r="I7" s="30" t="s">
        <v>13</v>
      </c>
      <c r="J7" s="30">
        <f t="shared" si="0"/>
        <v>21</v>
      </c>
      <c r="K7" s="6">
        <v>3</v>
      </c>
      <c r="L7" s="6">
        <v>4</v>
      </c>
      <c r="M7" s="6">
        <v>10</v>
      </c>
      <c r="N7" s="6">
        <v>4</v>
      </c>
      <c r="S7" s="48" t="s">
        <v>27</v>
      </c>
      <c r="T7" s="49" t="s">
        <v>344</v>
      </c>
      <c r="U7" s="49">
        <v>23</v>
      </c>
      <c r="V7" s="49">
        <v>5</v>
      </c>
      <c r="W7" s="49">
        <v>6</v>
      </c>
      <c r="X7" s="49">
        <v>6</v>
      </c>
      <c r="Y7" s="49">
        <v>6</v>
      </c>
    </row>
    <row r="8" spans="1:25" ht="14.25" customHeight="1" thickBot="1">
      <c r="A8" s="30" t="s">
        <v>24</v>
      </c>
      <c r="B8" s="30" t="s">
        <v>25</v>
      </c>
      <c r="C8" s="30">
        <v>1262</v>
      </c>
      <c r="D8" s="30" t="s">
        <v>11</v>
      </c>
      <c r="E8" s="30">
        <v>428</v>
      </c>
      <c r="F8" s="31" t="s">
        <v>26</v>
      </c>
      <c r="G8" s="30">
        <v>488</v>
      </c>
      <c r="H8" s="30">
        <v>10</v>
      </c>
      <c r="I8" s="30" t="s">
        <v>13</v>
      </c>
      <c r="J8" s="30">
        <f t="shared" si="0"/>
        <v>19</v>
      </c>
      <c r="K8" s="6">
        <v>1</v>
      </c>
      <c r="L8" s="6">
        <v>3</v>
      </c>
      <c r="M8" s="6">
        <v>9</v>
      </c>
      <c r="N8" s="6">
        <v>6</v>
      </c>
      <c r="S8" s="46" t="s">
        <v>21</v>
      </c>
      <c r="T8" s="47" t="s">
        <v>345</v>
      </c>
      <c r="U8" s="47">
        <v>21</v>
      </c>
      <c r="V8" s="47">
        <v>3</v>
      </c>
      <c r="W8" s="47">
        <v>4</v>
      </c>
      <c r="X8" s="47">
        <v>10</v>
      </c>
      <c r="Y8" s="47">
        <v>4</v>
      </c>
    </row>
    <row r="9" spans="1:25" ht="14.25" customHeight="1" thickBot="1">
      <c r="A9" s="30" t="s">
        <v>27</v>
      </c>
      <c r="B9" s="30" t="s">
        <v>28</v>
      </c>
      <c r="C9" s="30">
        <v>1005</v>
      </c>
      <c r="D9" s="30" t="s">
        <v>16</v>
      </c>
      <c r="E9" s="30">
        <v>331</v>
      </c>
      <c r="F9" s="31" t="s">
        <v>17</v>
      </c>
      <c r="G9" s="30">
        <v>120</v>
      </c>
      <c r="H9" s="30">
        <v>6</v>
      </c>
      <c r="I9" s="30" t="s">
        <v>13</v>
      </c>
      <c r="J9" s="30">
        <f t="shared" si="0"/>
        <v>23</v>
      </c>
      <c r="K9" s="6">
        <v>5</v>
      </c>
      <c r="L9" s="6">
        <v>6</v>
      </c>
      <c r="M9" s="6">
        <v>6</v>
      </c>
      <c r="N9" s="6">
        <v>6</v>
      </c>
      <c r="S9" s="46" t="s">
        <v>24</v>
      </c>
      <c r="T9" s="47" t="s">
        <v>346</v>
      </c>
      <c r="U9" s="47">
        <v>19</v>
      </c>
      <c r="V9" s="47">
        <v>1</v>
      </c>
      <c r="W9" s="47">
        <v>3</v>
      </c>
      <c r="X9" s="47">
        <v>9</v>
      </c>
      <c r="Y9" s="47">
        <v>6</v>
      </c>
    </row>
    <row r="10" spans="1:25" ht="14.25" customHeight="1" thickBot="1">
      <c r="A10" s="30" t="s">
        <v>29</v>
      </c>
      <c r="B10" s="30" t="s">
        <v>30</v>
      </c>
      <c r="C10" s="30">
        <v>888</v>
      </c>
      <c r="D10" s="30" t="s">
        <v>16</v>
      </c>
      <c r="E10" s="30">
        <v>289</v>
      </c>
      <c r="F10" s="31" t="s">
        <v>31</v>
      </c>
      <c r="G10" s="30">
        <v>476</v>
      </c>
      <c r="H10" s="30">
        <v>5</v>
      </c>
      <c r="I10" s="30" t="s">
        <v>13</v>
      </c>
      <c r="J10" s="30">
        <f t="shared" si="0"/>
        <v>15</v>
      </c>
      <c r="K10" s="6">
        <v>0</v>
      </c>
      <c r="L10" s="6">
        <v>2</v>
      </c>
      <c r="M10" s="6">
        <v>8</v>
      </c>
      <c r="N10" s="6">
        <v>5</v>
      </c>
      <c r="S10" s="48" t="s">
        <v>29</v>
      </c>
      <c r="T10" s="49" t="s">
        <v>347</v>
      </c>
      <c r="U10" s="49">
        <v>15</v>
      </c>
      <c r="V10" s="49">
        <v>0</v>
      </c>
      <c r="W10" s="49">
        <v>2</v>
      </c>
      <c r="X10" s="49">
        <v>8</v>
      </c>
      <c r="Y10" s="49">
        <v>5</v>
      </c>
    </row>
    <row r="11" spans="1:25" ht="14.25" customHeight="1" thickBot="1">
      <c r="A11" s="6" t="s">
        <v>32</v>
      </c>
      <c r="B11" s="6" t="s">
        <v>33</v>
      </c>
      <c r="C11" s="6">
        <v>306</v>
      </c>
      <c r="D11" s="6" t="s">
        <v>16</v>
      </c>
      <c r="E11" s="6">
        <v>171</v>
      </c>
      <c r="F11" s="7" t="s">
        <v>34</v>
      </c>
      <c r="G11" s="6">
        <v>56</v>
      </c>
      <c r="H11" s="6">
        <v>2</v>
      </c>
      <c r="I11" s="6" t="s">
        <v>13</v>
      </c>
      <c r="J11" s="6">
        <f t="shared" si="0"/>
        <v>4</v>
      </c>
      <c r="K11" s="6">
        <v>1</v>
      </c>
      <c r="L11" s="6">
        <v>0</v>
      </c>
      <c r="M11" s="6">
        <v>0</v>
      </c>
      <c r="N11" s="6">
        <v>3</v>
      </c>
      <c r="S11" s="48" t="s">
        <v>18</v>
      </c>
      <c r="T11" s="49" t="s">
        <v>348</v>
      </c>
      <c r="U11" s="49">
        <v>11</v>
      </c>
      <c r="V11" s="49">
        <v>0</v>
      </c>
      <c r="W11" s="49">
        <v>2</v>
      </c>
      <c r="X11" s="49">
        <v>9</v>
      </c>
      <c r="Y11" s="49">
        <v>0</v>
      </c>
    </row>
    <row r="12" spans="1:25" ht="14.25" customHeight="1" thickBot="1">
      <c r="A12" s="6" t="s">
        <v>35</v>
      </c>
      <c r="B12" s="6" t="s">
        <v>36</v>
      </c>
      <c r="C12" s="6">
        <v>198</v>
      </c>
      <c r="D12" s="6" t="s">
        <v>16</v>
      </c>
      <c r="E12" s="6">
        <v>75</v>
      </c>
      <c r="F12" s="7" t="s">
        <v>37</v>
      </c>
      <c r="G12" s="6">
        <v>43</v>
      </c>
      <c r="H12" s="6">
        <v>0</v>
      </c>
      <c r="I12" s="6" t="s">
        <v>13</v>
      </c>
      <c r="J12" s="6">
        <f t="shared" si="0"/>
        <v>0</v>
      </c>
      <c r="K12" s="6">
        <v>0</v>
      </c>
      <c r="L12" s="6">
        <v>0</v>
      </c>
      <c r="M12" s="6">
        <v>0</v>
      </c>
      <c r="N12" s="6">
        <v>0</v>
      </c>
      <c r="S12" s="48" t="s">
        <v>38</v>
      </c>
      <c r="T12" s="49" t="s">
        <v>349</v>
      </c>
      <c r="U12" s="49">
        <v>10</v>
      </c>
      <c r="V12" s="49">
        <v>1</v>
      </c>
      <c r="W12" s="49">
        <v>2</v>
      </c>
      <c r="X12" s="49">
        <v>5</v>
      </c>
      <c r="Y12" s="49">
        <v>2</v>
      </c>
    </row>
    <row r="13" spans="1:25" ht="14.25" customHeight="1" thickBot="1">
      <c r="A13" s="6" t="s">
        <v>38</v>
      </c>
      <c r="B13" s="6" t="s">
        <v>33</v>
      </c>
      <c r="C13" s="6">
        <v>162</v>
      </c>
      <c r="D13" s="6" t="s">
        <v>16</v>
      </c>
      <c r="E13" s="6">
        <v>47</v>
      </c>
      <c r="F13" s="7" t="s">
        <v>39</v>
      </c>
      <c r="G13" s="6">
        <v>27</v>
      </c>
      <c r="H13" s="6">
        <v>0</v>
      </c>
      <c r="I13" s="6" t="s">
        <v>13</v>
      </c>
      <c r="J13" s="6">
        <f t="shared" si="0"/>
        <v>10</v>
      </c>
      <c r="K13" s="6">
        <v>1</v>
      </c>
      <c r="L13" s="6">
        <v>2</v>
      </c>
      <c r="M13" s="6">
        <v>5</v>
      </c>
      <c r="N13" s="6">
        <v>2</v>
      </c>
      <c r="S13" s="48" t="s">
        <v>45</v>
      </c>
      <c r="T13" s="49" t="s">
        <v>350</v>
      </c>
      <c r="U13" s="49">
        <v>4</v>
      </c>
      <c r="V13" s="49">
        <v>1</v>
      </c>
      <c r="W13" s="49">
        <v>0</v>
      </c>
      <c r="X13" s="49">
        <v>2</v>
      </c>
      <c r="Y13" s="49">
        <v>1</v>
      </c>
    </row>
    <row r="14" spans="1:25" ht="14.25" customHeight="1" thickBot="1">
      <c r="A14" s="6" t="s">
        <v>40</v>
      </c>
      <c r="B14" s="6" t="s">
        <v>19</v>
      </c>
      <c r="C14" s="6">
        <v>85</v>
      </c>
      <c r="D14" s="6" t="s">
        <v>16</v>
      </c>
      <c r="E14" s="6">
        <v>51</v>
      </c>
      <c r="F14" s="7" t="s">
        <v>41</v>
      </c>
      <c r="G14" s="6">
        <v>20</v>
      </c>
      <c r="H14" s="6">
        <v>4</v>
      </c>
      <c r="I14" s="6" t="s">
        <v>13</v>
      </c>
      <c r="J14" s="6">
        <f t="shared" si="0"/>
        <v>1</v>
      </c>
      <c r="K14" s="6">
        <v>1</v>
      </c>
      <c r="L14" s="6">
        <v>0</v>
      </c>
      <c r="M14" s="6">
        <v>0</v>
      </c>
      <c r="N14" s="6">
        <v>0</v>
      </c>
      <c r="S14" s="48" t="s">
        <v>32</v>
      </c>
      <c r="T14" s="49" t="s">
        <v>349</v>
      </c>
      <c r="U14" s="49">
        <v>4</v>
      </c>
      <c r="V14" s="49">
        <v>1</v>
      </c>
      <c r="W14" s="49">
        <v>0</v>
      </c>
      <c r="X14" s="49">
        <v>0</v>
      </c>
      <c r="Y14" s="49">
        <v>3</v>
      </c>
    </row>
    <row r="15" spans="1:25" ht="14.25" customHeight="1" thickBot="1">
      <c r="A15" s="6" t="s">
        <v>42</v>
      </c>
      <c r="B15" s="6" t="s">
        <v>43</v>
      </c>
      <c r="C15" s="6">
        <v>57</v>
      </c>
      <c r="D15" s="6" t="s">
        <v>16</v>
      </c>
      <c r="E15" s="6">
        <v>23</v>
      </c>
      <c r="F15" s="7" t="s">
        <v>44</v>
      </c>
      <c r="G15" s="6">
        <v>7</v>
      </c>
      <c r="H15" s="6">
        <v>0</v>
      </c>
      <c r="I15" s="6" t="s">
        <v>13</v>
      </c>
      <c r="J15" s="6">
        <f t="shared" si="0"/>
        <v>4</v>
      </c>
      <c r="K15" s="6">
        <v>0</v>
      </c>
      <c r="L15" s="6">
        <v>0</v>
      </c>
      <c r="M15" s="6">
        <v>4</v>
      </c>
      <c r="N15" s="6">
        <v>0</v>
      </c>
      <c r="S15" s="48" t="s">
        <v>42</v>
      </c>
      <c r="T15" s="49" t="s">
        <v>351</v>
      </c>
      <c r="U15" s="49">
        <v>4</v>
      </c>
      <c r="V15" s="49">
        <v>0</v>
      </c>
      <c r="W15" s="49">
        <v>0</v>
      </c>
      <c r="X15" s="49">
        <v>4</v>
      </c>
      <c r="Y15" s="49">
        <v>0</v>
      </c>
    </row>
    <row r="16" spans="1:25" ht="14.25" customHeight="1" thickBot="1">
      <c r="A16" s="6" t="s">
        <v>45</v>
      </c>
      <c r="B16" s="6" t="s">
        <v>46</v>
      </c>
      <c r="C16" s="6">
        <v>40</v>
      </c>
      <c r="D16" s="6" t="s">
        <v>16</v>
      </c>
      <c r="E16" s="6">
        <v>25</v>
      </c>
      <c r="F16" s="7" t="s">
        <v>47</v>
      </c>
      <c r="G16" s="6">
        <v>10</v>
      </c>
      <c r="H16" s="6">
        <v>1</v>
      </c>
      <c r="I16" s="6" t="s">
        <v>13</v>
      </c>
      <c r="J16" s="6">
        <f t="shared" si="0"/>
        <v>4</v>
      </c>
      <c r="K16" s="6">
        <v>1</v>
      </c>
      <c r="L16" s="6">
        <v>0</v>
      </c>
      <c r="M16" s="6">
        <v>2</v>
      </c>
      <c r="N16" s="6">
        <v>1</v>
      </c>
      <c r="S16" s="48" t="s">
        <v>40</v>
      </c>
      <c r="T16" s="49" t="s">
        <v>348</v>
      </c>
      <c r="U16" s="49">
        <v>1</v>
      </c>
      <c r="V16" s="49">
        <v>1</v>
      </c>
      <c r="W16" s="49">
        <v>0</v>
      </c>
      <c r="X16" s="49">
        <v>0</v>
      </c>
      <c r="Y16" s="49">
        <v>0</v>
      </c>
    </row>
    <row r="17" spans="1:25" ht="14.25" customHeight="1" thickBot="1">
      <c r="A17" s="6" t="s">
        <v>48</v>
      </c>
      <c r="B17" s="6" t="s">
        <v>49</v>
      </c>
      <c r="C17" s="6">
        <v>29</v>
      </c>
      <c r="D17" s="6" t="s">
        <v>16</v>
      </c>
      <c r="E17" s="6">
        <v>14</v>
      </c>
      <c r="F17" s="7" t="s">
        <v>50</v>
      </c>
      <c r="G17" s="6">
        <v>0</v>
      </c>
      <c r="H17" s="6">
        <v>0</v>
      </c>
      <c r="I17" s="6" t="s">
        <v>13</v>
      </c>
      <c r="J17" s="6">
        <f t="shared" si="0"/>
        <v>0</v>
      </c>
      <c r="K17" s="6">
        <v>0</v>
      </c>
      <c r="L17" s="6">
        <v>0</v>
      </c>
      <c r="M17" s="6">
        <v>0</v>
      </c>
      <c r="N17" s="6">
        <v>0</v>
      </c>
      <c r="S17" s="48" t="s">
        <v>48</v>
      </c>
      <c r="T17" s="49" t="s">
        <v>352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</row>
    <row r="18" spans="1:25" ht="14.25" customHeight="1" thickBot="1">
      <c r="A18" s="6" t="s">
        <v>51</v>
      </c>
      <c r="B18" s="6" t="s">
        <v>52</v>
      </c>
      <c r="C18" s="6">
        <v>12</v>
      </c>
      <c r="D18" s="6" t="s">
        <v>16</v>
      </c>
      <c r="E18" s="6">
        <v>4</v>
      </c>
      <c r="F18" s="7" t="s">
        <v>53</v>
      </c>
      <c r="G18" s="6">
        <v>1</v>
      </c>
      <c r="H18" s="6">
        <v>0</v>
      </c>
      <c r="I18" s="28" t="s">
        <v>13</v>
      </c>
      <c r="J18" s="28">
        <f t="shared" si="0"/>
        <v>0</v>
      </c>
      <c r="K18" s="6">
        <v>0</v>
      </c>
      <c r="L18" s="6">
        <v>0</v>
      </c>
      <c r="M18" s="6">
        <v>0</v>
      </c>
      <c r="N18" s="6">
        <v>0</v>
      </c>
      <c r="S18" s="48" t="s">
        <v>35</v>
      </c>
      <c r="T18" s="49" t="s">
        <v>353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</row>
    <row r="19" spans="1:25" ht="14.25" customHeight="1" thickBot="1">
      <c r="I19" s="29" t="s">
        <v>54</v>
      </c>
      <c r="J19" s="29">
        <f>SUM(J4:J18)</f>
        <v>433</v>
      </c>
      <c r="N19" s="8"/>
      <c r="S19" s="46" t="s">
        <v>51</v>
      </c>
      <c r="T19" s="47" t="s">
        <v>354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</row>
    <row r="20" spans="1:25" ht="14.25" customHeight="1" thickBot="1">
      <c r="K20" s="8"/>
      <c r="L20" s="8"/>
      <c r="S20" s="60" t="s">
        <v>355</v>
      </c>
      <c r="T20" s="61"/>
      <c r="U20" s="59">
        <v>433</v>
      </c>
      <c r="V20" s="59">
        <v>52</v>
      </c>
      <c r="W20" s="62">
        <v>77</v>
      </c>
      <c r="X20" s="62">
        <v>201</v>
      </c>
      <c r="Y20" s="62">
        <v>105</v>
      </c>
    </row>
    <row r="21" spans="1:25" ht="14.25" customHeight="1"/>
    <row r="22" spans="1:25" ht="14.25" customHeight="1"/>
    <row r="23" spans="1:25" ht="14.25" customHeight="1"/>
    <row r="24" spans="1:25" ht="14.25" customHeight="1">
      <c r="A24" s="2" t="s">
        <v>1</v>
      </c>
      <c r="B24" s="10" t="s">
        <v>55</v>
      </c>
      <c r="C24" s="11"/>
      <c r="D24" s="11"/>
      <c r="E24" s="11"/>
      <c r="F24" s="11"/>
      <c r="G24" s="11"/>
      <c r="H24" s="12"/>
    </row>
    <row r="25" spans="1:25" ht="14.25" customHeight="1">
      <c r="A25" s="13" t="s">
        <v>9</v>
      </c>
      <c r="B25" s="14" t="s">
        <v>56</v>
      </c>
      <c r="C25" s="3"/>
      <c r="D25" s="3"/>
      <c r="E25" s="3"/>
      <c r="F25" s="3"/>
      <c r="G25" s="3"/>
      <c r="H25" s="4"/>
    </row>
    <row r="26" spans="1:25" ht="14.25" customHeight="1">
      <c r="A26" s="13" t="s">
        <v>14</v>
      </c>
      <c r="B26" s="14" t="s">
        <v>57</v>
      </c>
      <c r="C26" s="3"/>
      <c r="D26" s="3"/>
      <c r="E26" s="3"/>
      <c r="F26" s="3"/>
      <c r="G26" s="3"/>
      <c r="H26" s="4"/>
    </row>
    <row r="27" spans="1:25" ht="14.25" customHeight="1">
      <c r="A27" s="13" t="s">
        <v>18</v>
      </c>
      <c r="B27" s="14" t="s">
        <v>58</v>
      </c>
      <c r="C27" s="3"/>
      <c r="D27" s="3"/>
      <c r="E27" s="3"/>
      <c r="F27" s="3"/>
      <c r="G27" s="3"/>
      <c r="H27" s="4"/>
    </row>
    <row r="28" spans="1:25" ht="14.25" customHeight="1">
      <c r="A28" s="13" t="s">
        <v>21</v>
      </c>
      <c r="B28" s="14" t="s">
        <v>59</v>
      </c>
      <c r="C28" s="3"/>
      <c r="D28" s="3"/>
      <c r="E28" s="3"/>
      <c r="F28" s="3"/>
      <c r="G28" s="3"/>
      <c r="H28" s="4"/>
    </row>
    <row r="29" spans="1:25" ht="14.25" customHeight="1">
      <c r="A29" s="13" t="s">
        <v>24</v>
      </c>
      <c r="B29" s="14" t="s">
        <v>60</v>
      </c>
      <c r="C29" s="3"/>
      <c r="D29" s="3"/>
      <c r="E29" s="3"/>
      <c r="F29" s="3"/>
      <c r="G29" s="3"/>
      <c r="H29" s="4"/>
    </row>
    <row r="30" spans="1:25" ht="14.25" customHeight="1">
      <c r="A30" s="13" t="s">
        <v>27</v>
      </c>
      <c r="B30" s="14" t="s">
        <v>61</v>
      </c>
      <c r="C30" s="3"/>
      <c r="D30" s="3"/>
      <c r="E30" s="3"/>
      <c r="F30" s="3"/>
      <c r="G30" s="3"/>
      <c r="H30" s="4"/>
    </row>
    <row r="31" spans="1:25" ht="14.25" customHeight="1">
      <c r="A31" s="13" t="s">
        <v>29</v>
      </c>
      <c r="B31" s="14" t="s">
        <v>62</v>
      </c>
      <c r="C31" s="3"/>
      <c r="D31" s="3"/>
      <c r="E31" s="3"/>
      <c r="F31" s="3"/>
      <c r="G31" s="3"/>
      <c r="H31" s="4"/>
    </row>
    <row r="32" spans="1:25" ht="14.25" customHeight="1">
      <c r="A32" s="13" t="s">
        <v>32</v>
      </c>
      <c r="B32" s="14" t="s">
        <v>63</v>
      </c>
      <c r="C32" s="3"/>
      <c r="D32" s="3"/>
      <c r="E32" s="3"/>
      <c r="F32" s="3"/>
      <c r="G32" s="3"/>
      <c r="H32" s="4"/>
    </row>
    <row r="33" spans="1:8" ht="14.25" customHeight="1">
      <c r="A33" s="13" t="s">
        <v>35</v>
      </c>
      <c r="B33" s="14" t="s">
        <v>64</v>
      </c>
      <c r="C33" s="3"/>
      <c r="D33" s="3"/>
      <c r="E33" s="3"/>
      <c r="F33" s="3"/>
      <c r="G33" s="3"/>
      <c r="H33" s="4"/>
    </row>
    <row r="34" spans="1:8" ht="14.25" customHeight="1">
      <c r="A34" s="13" t="s">
        <v>38</v>
      </c>
      <c r="B34" s="14" t="s">
        <v>65</v>
      </c>
      <c r="C34" s="3"/>
      <c r="D34" s="3"/>
      <c r="E34" s="3"/>
      <c r="F34" s="3"/>
      <c r="G34" s="3"/>
      <c r="H34" s="4"/>
    </row>
    <row r="35" spans="1:8" ht="14.25" customHeight="1">
      <c r="A35" s="13" t="s">
        <v>40</v>
      </c>
      <c r="B35" s="14" t="s">
        <v>66</v>
      </c>
      <c r="C35" s="3"/>
      <c r="D35" s="3"/>
      <c r="E35" s="3"/>
      <c r="F35" s="3"/>
      <c r="G35" s="3"/>
      <c r="H35" s="4"/>
    </row>
    <row r="36" spans="1:8" ht="14.25" customHeight="1">
      <c r="A36" s="13" t="s">
        <v>42</v>
      </c>
      <c r="B36" s="14" t="s">
        <v>67</v>
      </c>
      <c r="C36" s="3"/>
      <c r="D36" s="3"/>
      <c r="E36" s="3"/>
      <c r="F36" s="3"/>
      <c r="G36" s="3"/>
      <c r="H36" s="4"/>
    </row>
    <row r="37" spans="1:8" ht="14.25" customHeight="1">
      <c r="A37" s="13" t="s">
        <v>45</v>
      </c>
      <c r="B37" s="14" t="s">
        <v>68</v>
      </c>
      <c r="C37" s="3"/>
      <c r="D37" s="3"/>
      <c r="E37" s="3"/>
      <c r="F37" s="3"/>
      <c r="G37" s="3"/>
      <c r="H37" s="4"/>
    </row>
    <row r="38" spans="1:8" ht="14.25" customHeight="1">
      <c r="A38" s="13" t="s">
        <v>48</v>
      </c>
      <c r="B38" s="14" t="s">
        <v>69</v>
      </c>
      <c r="C38" s="3"/>
      <c r="D38" s="3"/>
      <c r="E38" s="3"/>
      <c r="F38" s="3"/>
      <c r="G38" s="3"/>
      <c r="H38" s="4"/>
    </row>
    <row r="39" spans="1:8" ht="14.25" customHeight="1">
      <c r="A39" s="13" t="s">
        <v>51</v>
      </c>
      <c r="B39" s="14" t="s">
        <v>70</v>
      </c>
      <c r="C39" s="3"/>
      <c r="D39" s="3"/>
      <c r="E39" s="3"/>
      <c r="F39" s="3"/>
      <c r="G39" s="3"/>
      <c r="H39" s="4"/>
    </row>
    <row r="40" spans="1:8" ht="14.25" customHeight="1"/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mergeCells count="15">
    <mergeCell ref="S2:S4"/>
    <mergeCell ref="T2:T4"/>
    <mergeCell ref="U2:U4"/>
    <mergeCell ref="V2:Y3"/>
    <mergeCell ref="K2:N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6"/>
  <sheetViews>
    <sheetView tabSelected="1" topLeftCell="A36" zoomScale="98" zoomScaleNormal="98" workbookViewId="0">
      <selection activeCell="K46" sqref="K46:N63"/>
    </sheetView>
  </sheetViews>
  <sheetFormatPr baseColWidth="10" defaultColWidth="14.42578125" defaultRowHeight="15" customHeight="1"/>
  <cols>
    <col min="1" max="1" width="44.140625" customWidth="1"/>
    <col min="2" max="2" width="11" customWidth="1"/>
    <col min="3" max="3" width="11.42578125" customWidth="1"/>
    <col min="4" max="4" width="10.7109375" customWidth="1"/>
    <col min="5" max="6" width="16" customWidth="1"/>
    <col min="7" max="7" width="12.5703125" customWidth="1"/>
    <col min="8" max="8" width="13.5703125" customWidth="1"/>
    <col min="9" max="9" width="11.28515625" customWidth="1"/>
    <col min="10" max="10" width="17.7109375" customWidth="1"/>
    <col min="11" max="11" width="13.85546875" customWidth="1"/>
    <col min="12" max="12" width="10" customWidth="1"/>
    <col min="13" max="13" width="10.140625" customWidth="1"/>
    <col min="14" max="14" width="8.7109375" customWidth="1"/>
    <col min="15" max="15" width="15.5703125" customWidth="1"/>
    <col min="16" max="16" width="12.85546875" customWidth="1"/>
    <col min="17" max="17" width="10.7109375" hidden="1" customWidth="1"/>
    <col min="18" max="27" width="10.7109375" customWidth="1"/>
  </cols>
  <sheetData>
    <row r="1" spans="1:18" ht="36" customHeight="1">
      <c r="A1" s="35" t="s">
        <v>331</v>
      </c>
      <c r="B1" s="29" t="s">
        <v>9</v>
      </c>
      <c r="C1" s="29" t="s">
        <v>14</v>
      </c>
      <c r="D1" s="29" t="s">
        <v>18</v>
      </c>
      <c r="E1" s="29" t="s">
        <v>21</v>
      </c>
      <c r="F1" s="29" t="s">
        <v>24</v>
      </c>
      <c r="G1" s="29" t="s">
        <v>27</v>
      </c>
      <c r="H1" s="29" t="s">
        <v>29</v>
      </c>
      <c r="I1" s="29" t="s">
        <v>32</v>
      </c>
      <c r="J1" s="29" t="s">
        <v>35</v>
      </c>
      <c r="K1" s="29" t="s">
        <v>38</v>
      </c>
      <c r="L1" s="29" t="s">
        <v>40</v>
      </c>
      <c r="M1" s="29" t="s">
        <v>42</v>
      </c>
      <c r="N1" s="29" t="s">
        <v>45</v>
      </c>
      <c r="O1" s="29" t="s">
        <v>48</v>
      </c>
      <c r="P1" s="29" t="s">
        <v>51</v>
      </c>
      <c r="R1" s="33" t="s">
        <v>71</v>
      </c>
    </row>
    <row r="2" spans="1:18" ht="14.25" customHeight="1">
      <c r="A2" s="37" t="s">
        <v>72</v>
      </c>
      <c r="B2" s="37">
        <f>SUMIFS('Counting Class'!T:T,'Counting Class'!B:B,"=1",'Counting Class'!T:T,"=1")</f>
        <v>33</v>
      </c>
      <c r="C2" s="37">
        <f>SUMIFS('Counting Class'!U:U,'Counting Class'!B:B,"=1",'Counting Class'!U:U,"=1")</f>
        <v>10</v>
      </c>
      <c r="D2" s="37">
        <f>SUMIFS('Counting Class'!V:V,'Counting Class'!B:B,"=1",'Counting Class'!V:V,"=1")</f>
        <v>1</v>
      </c>
      <c r="E2" s="37">
        <f>SUMIFS('Counting Class'!W:W,'Counting Class'!C:C,"=1",'Counting Class'!W:W,"=1")</f>
        <v>2</v>
      </c>
      <c r="F2" s="37">
        <f>SUMIFS('Counting Class'!X:X,'Counting Class'!D:D,"=1",'Counting Class'!X:X,"=1")</f>
        <v>2</v>
      </c>
      <c r="G2" s="37">
        <f>SUMIFS('Counting Class'!Y:Y,'Counting Class'!E:E,"=1",'Counting Class'!Y:Y,"=1")</f>
        <v>1</v>
      </c>
      <c r="H2" s="37">
        <f>SUMIFS('Counting Class'!Z:Z,'Counting Class'!F:F,"=1",'Counting Class'!Z:Z,"=1")</f>
        <v>1</v>
      </c>
      <c r="I2" s="37">
        <f>SUMIFS('Counting Class'!AA:AA,'Counting Class'!G:G,"=1",'Counting Class'!AA:AA,"=1")</f>
        <v>0</v>
      </c>
      <c r="J2" s="37">
        <f>SUMIFS('Counting Class'!AB:AB,'Counting Class'!H:H,"=1",'Counting Class'!AB:AB,"=1")</f>
        <v>0</v>
      </c>
      <c r="K2" s="37">
        <f>SUMIFS('Counting Class'!AC:AC,'Counting Class'!I:I,"=1",'Counting Class'!AC:AC,"=1")</f>
        <v>0</v>
      </c>
      <c r="L2" s="37">
        <f>SUMIFS('Counting Class'!AD:AD,'Counting Class'!J:J,"=1",'Counting Class'!AD:AD,"=1")</f>
        <v>0</v>
      </c>
      <c r="M2" s="37">
        <f>SUMIFS('Counting Class'!AE:AE,'Counting Class'!K:K,"=1",'Counting Class'!AE:AE,"=1")</f>
        <v>0</v>
      </c>
      <c r="N2" s="37">
        <f>SUMIFS('Counting Class'!AF:AF,'Counting Class'!L:L,"=1",'Counting Class'!AF:AF,"=1")</f>
        <v>0</v>
      </c>
      <c r="O2" s="37">
        <f>SUMIFS('Counting Class'!AG:AG,'Counting Class'!M:M,"=1",'Counting Class'!AG:AG,"=1")</f>
        <v>0</v>
      </c>
      <c r="P2" s="37">
        <f>SUMIFS('Counting Class'!AH:AH,'Counting Class'!N:N,"=1",'Counting Class'!AH:AH,"=1")</f>
        <v>0</v>
      </c>
      <c r="R2" s="33">
        <f>SUM(Areas!$B2:$P2)</f>
        <v>50</v>
      </c>
    </row>
    <row r="3" spans="1:18" ht="14.25" customHeight="1">
      <c r="A3" s="37" t="s">
        <v>73</v>
      </c>
      <c r="B3" s="37">
        <f>SUMIFS('Counting Class'!T:T,'Counting Class'!C:C,"=1",'Counting Class'!T:T,"=1")</f>
        <v>36</v>
      </c>
      <c r="C3" s="37">
        <f>SUMIFS('Counting Class'!U:U,'Counting Class'!C:C,"=1",'Counting Class'!U:U,"=1")</f>
        <v>14</v>
      </c>
      <c r="D3" s="37">
        <f>SUMIFS('Counting Class'!V:V,'Counting Class'!C:C,"=1",'Counting Class'!V:V,"=1")</f>
        <v>4</v>
      </c>
      <c r="E3" s="37">
        <f>SUMIFS('Counting Class'!W:W,'Counting Class'!D:D,"=1",'Counting Class'!W:W,"=1")</f>
        <v>0</v>
      </c>
      <c r="F3" s="37">
        <f>SUMIFS('Counting Class'!X:X,'Counting Class'!E:E,"=1",'Counting Class'!X:X,"=1")</f>
        <v>1</v>
      </c>
      <c r="G3" s="37">
        <f>SUMIFS('Counting Class'!Y:Y,'Counting Class'!F:F,"=1",'Counting Class'!Y:Y,"=1")</f>
        <v>2</v>
      </c>
      <c r="H3" s="37">
        <f>SUMIFS('Counting Class'!Z:Z,'Counting Class'!G:G,"=1",'Counting Class'!Z:Z,"=1")</f>
        <v>0</v>
      </c>
      <c r="I3" s="37">
        <f>SUMIFS('Counting Class'!AA:AA,'Counting Class'!H:H,"=1",'Counting Class'!AA:AA,"=1")</f>
        <v>0</v>
      </c>
      <c r="J3" s="37">
        <f>SUMIFS('Counting Class'!AB:AB,'Counting Class'!I:I,"=1",'Counting Class'!AB:AB,"=1")</f>
        <v>0</v>
      </c>
      <c r="K3" s="37">
        <f>SUMIFS('Counting Class'!AC:AC,'Counting Class'!J:J,"=1",'Counting Class'!AC:AC,"=1")</f>
        <v>2</v>
      </c>
      <c r="L3" s="37">
        <f>SUMIFS('Counting Class'!AD:AD,'Counting Class'!K:K,"=1",'Counting Class'!AD:AD,"=1")</f>
        <v>0</v>
      </c>
      <c r="M3" s="37">
        <f>SUMIFS('Counting Class'!AE:AE,'Counting Class'!L:L,"=1",'Counting Class'!AE:AE,"=1")</f>
        <v>0</v>
      </c>
      <c r="N3" s="37">
        <f>SUMIFS('Counting Class'!AF:AF,'Counting Class'!M:M,"=1",'Counting Class'!AF:AF,"=1")</f>
        <v>1</v>
      </c>
      <c r="O3" s="37">
        <f>SUMIFS('Counting Class'!AG:AG,'Counting Class'!N:N,"=1",'Counting Class'!AG:AG,"=1")</f>
        <v>0</v>
      </c>
      <c r="P3" s="37">
        <f>SUMIFS('Counting Class'!AH:AH,'Counting Class'!O:O,"=1",'Counting Class'!AH:AH,"=1")</f>
        <v>0</v>
      </c>
      <c r="R3" s="33">
        <f>SUM(Areas!$B3:$P3)</f>
        <v>60</v>
      </c>
    </row>
    <row r="4" spans="1:18" ht="14.25" customHeight="1">
      <c r="A4" s="37" t="s">
        <v>74</v>
      </c>
      <c r="B4" s="37">
        <f>SUMIFS('Counting Class'!T:T,'Counting Class'!D:D,"=1",'Counting Class'!T:T,"=1")</f>
        <v>10</v>
      </c>
      <c r="C4" s="37">
        <f>SUMIFS('Counting Class'!U:U,'Counting Class'!D:D,"=1",'Counting Class'!U:U,"=1")</f>
        <v>2</v>
      </c>
      <c r="D4" s="37">
        <f>SUMIFS('Counting Class'!V:V,'Counting Class'!D:D,"=1",'Counting Class'!V:V,"=1")</f>
        <v>0</v>
      </c>
      <c r="E4" s="37">
        <f>SUMIFS('Counting Class'!W:W,'Counting Class'!E:E,"=1",'Counting Class'!W:W,"=1")</f>
        <v>0</v>
      </c>
      <c r="F4" s="37">
        <f>SUMIFS('Counting Class'!X:X,'Counting Class'!F:F,"=1",'Counting Class'!X:X,"=1")</f>
        <v>2</v>
      </c>
      <c r="G4" s="37">
        <f>SUMIFS('Counting Class'!Y:Y,'Counting Class'!G:G,"=1",'Counting Class'!Y:Y,"=1")</f>
        <v>0</v>
      </c>
      <c r="H4" s="37">
        <f>SUMIFS('Counting Class'!Z:Z,'Counting Class'!H:H,"=1",'Counting Class'!Z:Z,"=1")</f>
        <v>0</v>
      </c>
      <c r="I4" s="37">
        <f>SUMIFS('Counting Class'!AA:AA,'Counting Class'!I:I,"=1",'Counting Class'!AA:AA,"=1")</f>
        <v>0</v>
      </c>
      <c r="J4" s="37">
        <f>SUMIFS('Counting Class'!AB:AB,'Counting Class'!J:J,"=1",'Counting Class'!AB:AB,"=1")</f>
        <v>0</v>
      </c>
      <c r="K4" s="37">
        <f>SUMIFS('Counting Class'!AC:AC,'Counting Class'!K:K,"=1",'Counting Class'!AC:AC,"=1")</f>
        <v>5</v>
      </c>
      <c r="L4" s="37">
        <f>SUMIFS('Counting Class'!AD:AD,'Counting Class'!L:L,"=1",'Counting Class'!AD:AD,"=1")</f>
        <v>0</v>
      </c>
      <c r="M4" s="37">
        <f>SUMIFS('Counting Class'!AE:AE,'Counting Class'!M:M,"=1",'Counting Class'!AE:AE,"=1")</f>
        <v>2</v>
      </c>
      <c r="N4" s="37">
        <f>SUMIFS('Counting Class'!AF:AF,'Counting Class'!N:N,"=1",'Counting Class'!AF:AF,"=1")</f>
        <v>0</v>
      </c>
      <c r="O4" s="37">
        <f>SUMIFS('Counting Class'!AG:AG,'Counting Class'!O:O,"=1",'Counting Class'!AG:AG,"=1")</f>
        <v>0</v>
      </c>
      <c r="P4" s="37">
        <f>SUMIFS('Counting Class'!AH:AH,'Counting Class'!P:P,"=1",'Counting Class'!AH:AH,"=1")</f>
        <v>0</v>
      </c>
      <c r="R4" s="33">
        <f>SUM(Areas!$B4:$P4)</f>
        <v>21</v>
      </c>
    </row>
    <row r="5" spans="1:18" ht="14.25" customHeight="1">
      <c r="A5" s="37" t="s">
        <v>75</v>
      </c>
      <c r="B5" s="37">
        <f>SUMIFS('Counting Class'!T:T,'Counting Class'!E:E,"=1",'Counting Class'!T:T,"=1")</f>
        <v>11</v>
      </c>
      <c r="C5" s="37">
        <f>SUMIFS('Counting Class'!U:U,'Counting Class'!E:E,"=1",'Counting Class'!U:U,"=1")</f>
        <v>2</v>
      </c>
      <c r="D5" s="37">
        <f>SUMIFS('Counting Class'!V:V,'Counting Class'!E:E,"=1",'Counting Class'!V:V,"=1")</f>
        <v>0</v>
      </c>
      <c r="E5" s="37">
        <f>SUMIFS('Counting Class'!W:W,'Counting Class'!F:F,"=1",'Counting Class'!W:W,"=1")</f>
        <v>0</v>
      </c>
      <c r="F5" s="37">
        <f>SUMIFS('Counting Class'!X:X,'Counting Class'!G:G,"=1",'Counting Class'!X:X,"=1")</f>
        <v>0</v>
      </c>
      <c r="G5" s="37">
        <f>SUMIFS('Counting Class'!Y:Y,'Counting Class'!H:H,"=1",'Counting Class'!Y:Y,"=1")</f>
        <v>0</v>
      </c>
      <c r="H5" s="37">
        <f>SUMIFS('Counting Class'!Z:Z,'Counting Class'!I:I,"=1",'Counting Class'!Z:Z,"=1")</f>
        <v>0</v>
      </c>
      <c r="I5" s="37">
        <f>SUMIFS('Counting Class'!AA:AA,'Counting Class'!J:J,"=1",'Counting Class'!AA:AA,"=1")</f>
        <v>1</v>
      </c>
      <c r="J5" s="37">
        <f>SUMIFS('Counting Class'!AB:AB,'Counting Class'!K:K,"=1",'Counting Class'!AB:AB,"=1")</f>
        <v>0</v>
      </c>
      <c r="K5" s="37">
        <f>SUMIFS('Counting Class'!AC:AC,'Counting Class'!L:L,"=1",'Counting Class'!AC:AC,"=1")</f>
        <v>2</v>
      </c>
      <c r="L5" s="37">
        <f>SUMIFS('Counting Class'!AD:AD,'Counting Class'!M:M,"=1",'Counting Class'!AD:AD,"=1")</f>
        <v>0</v>
      </c>
      <c r="M5" s="37">
        <f>SUMIFS('Counting Class'!AE:AE,'Counting Class'!N:N,"=1",'Counting Class'!AE:AE,"=1")</f>
        <v>0</v>
      </c>
      <c r="N5" s="37">
        <f>SUMIFS('Counting Class'!AF:AF,'Counting Class'!O:O,"=1",'Counting Class'!AF:AF,"=1")</f>
        <v>0</v>
      </c>
      <c r="O5" s="37">
        <f>SUMIFS('Counting Class'!AG:AG,'Counting Class'!P:P,"=1",'Counting Class'!AG:AG,"=1")</f>
        <v>0</v>
      </c>
      <c r="P5" s="37">
        <f>SUMIFS('Counting Class'!AH:AH,'Counting Class'!Q:Q,"=1",'Counting Class'!AH:AH,"=1")</f>
        <v>0</v>
      </c>
      <c r="R5" s="33">
        <f>SUM(Areas!$B5:$P5)</f>
        <v>16</v>
      </c>
    </row>
    <row r="6" spans="1:18" ht="14.25" customHeight="1">
      <c r="A6" s="37" t="s">
        <v>76</v>
      </c>
      <c r="B6" s="37">
        <f>SUMIFS('Counting Class'!T:T,'Counting Class'!F:F,"=1",'Counting Class'!T:T,"=1")</f>
        <v>18</v>
      </c>
      <c r="C6" s="37">
        <f>SUMIFS('Counting Class'!U:U,'Counting Class'!F:F,"=1",'Counting Class'!U:U,"=1")</f>
        <v>8</v>
      </c>
      <c r="D6" s="37">
        <f>SUMIFS('Counting Class'!V:V,'Counting Class'!F:F,"=1",'Counting Class'!V:V,"=1")</f>
        <v>1</v>
      </c>
      <c r="E6" s="37">
        <f>SUMIFS('Counting Class'!W:W,'Counting Class'!G:G,"=1",'Counting Class'!W:W,"=1")</f>
        <v>0</v>
      </c>
      <c r="F6" s="37">
        <f>SUMIFS('Counting Class'!X:X,'Counting Class'!H:H,"=1",'Counting Class'!X:X,"=1")</f>
        <v>1</v>
      </c>
      <c r="G6" s="37">
        <f>SUMIFS('Counting Class'!Y:Y,'Counting Class'!I:I,"=1",'Counting Class'!Y:Y,"=1")</f>
        <v>0</v>
      </c>
      <c r="H6" s="37">
        <f>SUMIFS('Counting Class'!Z:Z,'Counting Class'!J:J,"=1",'Counting Class'!Z:Z,"=1")</f>
        <v>2</v>
      </c>
      <c r="I6" s="37">
        <f>SUMIFS('Counting Class'!AA:AA,'Counting Class'!K:K,"=1",'Counting Class'!AA:AA,"=1")</f>
        <v>0</v>
      </c>
      <c r="J6" s="37">
        <f>SUMIFS('Counting Class'!AB:AB,'Counting Class'!L:L,"=1",'Counting Class'!AB:AB,"=1")</f>
        <v>0</v>
      </c>
      <c r="K6" s="37">
        <f>SUMIFS('Counting Class'!AC:AC,'Counting Class'!M:M,"=1",'Counting Class'!AC:AC,"=1")</f>
        <v>3</v>
      </c>
      <c r="L6" s="37">
        <f>SUMIFS('Counting Class'!AD:AD,'Counting Class'!N:N,"=1",'Counting Class'!AD:AD,"=1")</f>
        <v>0</v>
      </c>
      <c r="M6" s="37">
        <f>SUMIFS('Counting Class'!AE:AE,'Counting Class'!O:O,"=1",'Counting Class'!AE:AE,"=1")</f>
        <v>0</v>
      </c>
      <c r="N6" s="37">
        <f>SUMIFS('Counting Class'!AF:AF,'Counting Class'!P:P,"=1",'Counting Class'!AF:AF,"=1")</f>
        <v>0</v>
      </c>
      <c r="O6" s="37">
        <f>SUMIFS('Counting Class'!AG:AG,'Counting Class'!Q:Q,"=1",'Counting Class'!AG:AG,"=1")</f>
        <v>0</v>
      </c>
      <c r="P6" s="37">
        <f>SUMIFS('Counting Class'!AH:AH,'Counting Class'!R:R,"=1",'Counting Class'!AH:AH,"=1")</f>
        <v>0</v>
      </c>
      <c r="R6" s="33">
        <f>SUM(Areas!$B6:$P6)</f>
        <v>33</v>
      </c>
    </row>
    <row r="7" spans="1:18" ht="14.25" customHeight="1">
      <c r="A7" s="37" t="s">
        <v>77</v>
      </c>
      <c r="B7" s="37">
        <f>SUMIFS('Counting Class'!T:T,'Counting Class'!G:G,"=1",'Counting Class'!T:T,"=1")</f>
        <v>2</v>
      </c>
      <c r="C7" s="37">
        <f>SUMIFS('Counting Class'!U:U,'Counting Class'!G:G,"=1",'Counting Class'!U:U,"=1")</f>
        <v>0</v>
      </c>
      <c r="D7" s="37">
        <f>SUMIFS('Counting Class'!V:V,'Counting Class'!G:G,"=1",'Counting Class'!V:V,"=1")</f>
        <v>0</v>
      </c>
      <c r="E7" s="37">
        <f>SUMIFS('Counting Class'!W:W,'Counting Class'!H:H,"=1",'Counting Class'!W:W,"=1")</f>
        <v>0</v>
      </c>
      <c r="F7" s="37">
        <f>SUMIFS('Counting Class'!X:X,'Counting Class'!I:I,"=1",'Counting Class'!X:X,"=1")</f>
        <v>2</v>
      </c>
      <c r="G7" s="37">
        <f>SUMIFS('Counting Class'!Y:Y,'Counting Class'!J:J,"=1",'Counting Class'!Y:Y,"=1")</f>
        <v>2</v>
      </c>
      <c r="H7" s="37">
        <f>SUMIFS('Counting Class'!Z:Z,'Counting Class'!K:K,"=1",'Counting Class'!Z:Z,"=1")</f>
        <v>1</v>
      </c>
      <c r="I7" s="37">
        <f>SUMIFS('Counting Class'!AA:AA,'Counting Class'!L:L,"=1",'Counting Class'!AA:AA,"=1")</f>
        <v>1</v>
      </c>
      <c r="J7" s="37">
        <f>SUMIFS('Counting Class'!AB:AB,'Counting Class'!M:M,"=1",'Counting Class'!AB:AB,"=1")</f>
        <v>0</v>
      </c>
      <c r="K7" s="37">
        <f>SUMIFS('Counting Class'!AC:AC,'Counting Class'!N:N,"=1",'Counting Class'!AC:AC,"=1")</f>
        <v>0</v>
      </c>
      <c r="L7" s="37">
        <f>SUMIFS('Counting Class'!AD:AD,'Counting Class'!O:O,"=1",'Counting Class'!AD:AD,"=1")</f>
        <v>0</v>
      </c>
      <c r="M7" s="37">
        <f>SUMIFS('Counting Class'!AE:AE,'Counting Class'!P:P,"=1",'Counting Class'!AE:AE,"=1")</f>
        <v>0</v>
      </c>
      <c r="N7" s="37">
        <f>SUMIFS('Counting Class'!AF:AF,'Counting Class'!Q:Q,"=1",'Counting Class'!AF:AF,"=1")</f>
        <v>0</v>
      </c>
      <c r="O7" s="37">
        <f>SUMIFS('Counting Class'!AG:AG,'Counting Class'!R:R,"=1",'Counting Class'!AG:AG,"=1")</f>
        <v>0</v>
      </c>
      <c r="P7" s="37">
        <f>SUMIFS('Counting Class'!AH:AH,'Counting Class'!S:S,"=1",'Counting Class'!AH:AH,"=1")</f>
        <v>0</v>
      </c>
      <c r="R7" s="33">
        <f>SUM(Areas!$B7:$P7)</f>
        <v>8</v>
      </c>
    </row>
    <row r="8" spans="1:18" ht="14.25" customHeight="1">
      <c r="A8" s="37" t="s">
        <v>78</v>
      </c>
      <c r="B8" s="37">
        <f>SUMIFS('Counting Class'!T:T,'Counting Class'!H:H,"=1",'Counting Class'!T:T,"=1")</f>
        <v>2</v>
      </c>
      <c r="C8" s="37">
        <f>SUMIFS('Counting Class'!U:U,'Counting Class'!H:H,"=1",'Counting Class'!U:U,"=1")</f>
        <v>2</v>
      </c>
      <c r="D8" s="37">
        <f>SUMIFS('Counting Class'!V:V,'Counting Class'!H:H,"=1",'Counting Class'!V:V,"=1")</f>
        <v>0</v>
      </c>
      <c r="E8" s="37">
        <f>SUMIFS('Counting Class'!W:W,'Counting Class'!I:I,"=1",'Counting Class'!W:W,"=1")</f>
        <v>0</v>
      </c>
      <c r="F8" s="37">
        <f>SUMIFS('Counting Class'!X:X,'Counting Class'!J:J,"=1",'Counting Class'!X:X,"=1")</f>
        <v>1</v>
      </c>
      <c r="G8" s="37">
        <f>SUMIFS('Counting Class'!Y:Y,'Counting Class'!K:K,"=1",'Counting Class'!Y:Y,"=1")</f>
        <v>4</v>
      </c>
      <c r="H8" s="37">
        <f>SUMIFS('Counting Class'!Z:Z,'Counting Class'!L:L,"=1",'Counting Class'!Z:Z,"=1")</f>
        <v>1</v>
      </c>
      <c r="I8" s="37">
        <f>SUMIFS('Counting Class'!AA:AA,'Counting Class'!M:M,"=1",'Counting Class'!AA:AA,"=1")</f>
        <v>2</v>
      </c>
      <c r="J8" s="37">
        <f>SUMIFS('Counting Class'!AB:AB,'Counting Class'!N:N,"=1",'Counting Class'!AB:AB,"=1")</f>
        <v>0</v>
      </c>
      <c r="K8" s="37">
        <f>SUMIFS('Counting Class'!AC:AC,'Counting Class'!O:O,"=1",'Counting Class'!AC:AC,"=1")</f>
        <v>0</v>
      </c>
      <c r="L8" s="37">
        <f>SUMIFS('Counting Class'!AD:AD,'Counting Class'!P:P,"=1",'Counting Class'!AD:AD,"=1")</f>
        <v>0</v>
      </c>
      <c r="M8" s="37">
        <f>SUMIFS('Counting Class'!AE:AE,'Counting Class'!Q:Q,"=1",'Counting Class'!AE:AE,"=1")</f>
        <v>0</v>
      </c>
      <c r="N8" s="37">
        <f>SUMIFS('Counting Class'!AF:AF,'Counting Class'!R:R,"=1",'Counting Class'!AF:AF,"=1")</f>
        <v>0</v>
      </c>
      <c r="O8" s="37">
        <f>SUMIFS('Counting Class'!AG:AG,'Counting Class'!S:S,"=1",'Counting Class'!AG:AG,"=1")</f>
        <v>0</v>
      </c>
      <c r="P8" s="37">
        <f>SUMIFS('Counting Class'!AH:AH,'Counting Class'!T:T,"=1",'Counting Class'!AH:AH,"=1")</f>
        <v>0</v>
      </c>
      <c r="R8" s="33">
        <f>SUM(Areas!$B8:$P8)</f>
        <v>12</v>
      </c>
    </row>
    <row r="9" spans="1:18" ht="14.25" customHeight="1">
      <c r="A9" s="37" t="s">
        <v>79</v>
      </c>
      <c r="B9" s="37">
        <f>SUMIFS('Counting Class'!T:T,'Counting Class'!I:I,"=1",'Counting Class'!T:T,"=1")</f>
        <v>6</v>
      </c>
      <c r="C9" s="37">
        <f>SUMIFS('Counting Class'!U:U,'Counting Class'!I:I,"=1",'Counting Class'!U:U,"=1")</f>
        <v>2</v>
      </c>
      <c r="D9" s="37">
        <f>SUMIFS('Counting Class'!V:V,'Counting Class'!I:I,"=1",'Counting Class'!V:V,"=1")</f>
        <v>0</v>
      </c>
      <c r="E9" s="37">
        <f>SUMIFS('Counting Class'!W:W,'Counting Class'!J:J,"=1",'Counting Class'!W:W,"=1")</f>
        <v>1</v>
      </c>
      <c r="F9" s="37">
        <f>SUMIFS('Counting Class'!X:X,'Counting Class'!K:K,"=1",'Counting Class'!X:X,"=1")</f>
        <v>3</v>
      </c>
      <c r="G9" s="37">
        <f>SUMIFS('Counting Class'!Y:Y,'Counting Class'!L:L,"=1",'Counting Class'!Y:Y,"=1")</f>
        <v>1</v>
      </c>
      <c r="H9" s="37">
        <f>SUMIFS('Counting Class'!Z:Z,'Counting Class'!M:M,"=1",'Counting Class'!Z:Z,"=1")</f>
        <v>8</v>
      </c>
      <c r="I9" s="37">
        <f>SUMIFS('Counting Class'!AA:AA,'Counting Class'!N:N,"=1",'Counting Class'!AA:AA,"=1")</f>
        <v>1</v>
      </c>
      <c r="J9" s="37">
        <f>SUMIFS('Counting Class'!AB:AB,'Counting Class'!O:O,"=1",'Counting Class'!AB:AB,"=1")</f>
        <v>0</v>
      </c>
      <c r="K9" s="37">
        <f>SUMIFS('Counting Class'!AC:AC,'Counting Class'!P:P,"=1",'Counting Class'!AC:AC,"=1")</f>
        <v>1</v>
      </c>
      <c r="L9" s="37">
        <f>SUMIFS('Counting Class'!AD:AD,'Counting Class'!Q:Q,"=1",'Counting Class'!AD:AD,"=1")</f>
        <v>1</v>
      </c>
      <c r="M9" s="37">
        <f>SUMIFS('Counting Class'!AE:AE,'Counting Class'!R:R,"=1",'Counting Class'!AE:AE,"=1")</f>
        <v>0</v>
      </c>
      <c r="N9" s="37">
        <f>SUMIFS('Counting Class'!AF:AF,'Counting Class'!S:S,"=1",'Counting Class'!AF:AF,"=1")</f>
        <v>0</v>
      </c>
      <c r="O9" s="37">
        <f>SUMIFS('Counting Class'!AG:AG,'Counting Class'!T:T,"=1",'Counting Class'!AG:AG,"=1")</f>
        <v>0</v>
      </c>
      <c r="P9" s="37">
        <f>SUMIFS('Counting Class'!AH:AH,'Counting Class'!U:U,"=1",'Counting Class'!AH:AH,"=1")</f>
        <v>0</v>
      </c>
      <c r="R9" s="33">
        <f>SUM(Areas!$B9:$P9)</f>
        <v>24</v>
      </c>
    </row>
    <row r="10" spans="1:18" ht="14.25" customHeight="1">
      <c r="A10" s="37" t="s">
        <v>80</v>
      </c>
      <c r="B10" s="37">
        <f>SUMIFS('Counting Class'!T:T,'Counting Class'!J:J,"=1",'Counting Class'!T:T,"=1")</f>
        <v>20</v>
      </c>
      <c r="C10" s="37">
        <f>SUMIFS('Counting Class'!U:U,'Counting Class'!J:J,"=1",'Counting Class'!U:U,"=1")</f>
        <v>7</v>
      </c>
      <c r="D10" s="37">
        <f>SUMIFS('Counting Class'!V:V,'Counting Class'!J:J,"=1",'Counting Class'!V:V,"=1")</f>
        <v>0</v>
      </c>
      <c r="E10" s="37">
        <f>SUMIFS('Counting Class'!W:W,'Counting Class'!K:K,"=1",'Counting Class'!W:W,"=1")</f>
        <v>7</v>
      </c>
      <c r="F10" s="37">
        <f>SUMIFS('Counting Class'!X:X,'Counting Class'!L:L,"=1",'Counting Class'!X:X,"=1")</f>
        <v>0</v>
      </c>
      <c r="G10" s="37">
        <f>SUMIFS('Counting Class'!Y:Y,'Counting Class'!M:M,"=1",'Counting Class'!Y:Y,"=1")</f>
        <v>9</v>
      </c>
      <c r="H10" s="37">
        <f>SUMIFS('Counting Class'!Z:Z,'Counting Class'!N:N,"=1",'Counting Class'!Z:Z,"=1")</f>
        <v>2</v>
      </c>
      <c r="I10" s="37">
        <f>SUMIFS('Counting Class'!AA:AA,'Counting Class'!O:O,"=1",'Counting Class'!AA:AA,"=1")</f>
        <v>0</v>
      </c>
      <c r="J10" s="37">
        <f>SUMIFS('Counting Class'!AB:AB,'Counting Class'!P:P,"=1",'Counting Class'!AB:AB,"=1")</f>
        <v>0</v>
      </c>
      <c r="K10" s="37">
        <f>SUMIFS('Counting Class'!AC:AC,'Counting Class'!Q:Q,"=1",'Counting Class'!AC:AC,"=1")</f>
        <v>0</v>
      </c>
      <c r="L10" s="37">
        <f>SUMIFS('Counting Class'!AD:AD,'Counting Class'!R:R,"=1",'Counting Class'!AD:AD,"=1")</f>
        <v>0</v>
      </c>
      <c r="M10" s="37">
        <f>SUMIFS('Counting Class'!AE:AE,'Counting Class'!S:S,"=1",'Counting Class'!AE:AE,"=1")</f>
        <v>0</v>
      </c>
      <c r="N10" s="37">
        <f>SUMIFS('Counting Class'!AF:AF,'Counting Class'!T:T,"=1",'Counting Class'!AF:AF,"=1")</f>
        <v>0</v>
      </c>
      <c r="O10" s="37">
        <f>SUMIFS('Counting Class'!AG:AG,'Counting Class'!U:U,"=1",'Counting Class'!AG:AG,"=1")</f>
        <v>0</v>
      </c>
      <c r="P10" s="37">
        <f>SUMIFS('Counting Class'!AH:AH,'Counting Class'!V:V,"=1",'Counting Class'!AH:AH,"=1")</f>
        <v>0</v>
      </c>
      <c r="R10" s="33">
        <f>SUM(Areas!$B10:$P10)</f>
        <v>45</v>
      </c>
    </row>
    <row r="11" spans="1:18" ht="14.25" customHeight="1">
      <c r="A11" s="37" t="s">
        <v>81</v>
      </c>
      <c r="B11" s="37">
        <f>SUMIFS('Counting Class'!T:T,'Counting Class'!K:K,"=1",'Counting Class'!T:T,"=1")</f>
        <v>34</v>
      </c>
      <c r="C11" s="37">
        <f>SUMIFS('Counting Class'!U:U,'Counting Class'!K:K,"=1",'Counting Class'!U:U,"=1")</f>
        <v>17</v>
      </c>
      <c r="D11" s="37">
        <f>SUMIFS('Counting Class'!V:V,'Counting Class'!K:K,"=1",'Counting Class'!V:V,"=1")</f>
        <v>2</v>
      </c>
      <c r="E11" s="37">
        <f>SUMIFS('Counting Class'!W:W,'Counting Class'!L:L,"=1",'Counting Class'!W:W,"=1")</f>
        <v>1</v>
      </c>
      <c r="F11" s="37">
        <f>SUMIFS('Counting Class'!X:X,'Counting Class'!M:M,"=1",'Counting Class'!X:X,"=1")</f>
        <v>10</v>
      </c>
      <c r="G11" s="37">
        <f>SUMIFS('Counting Class'!Y:Y,'Counting Class'!N:N,"=1",'Counting Class'!Y:Y,"=1")</f>
        <v>0</v>
      </c>
      <c r="H11" s="37">
        <f>SUMIFS('Counting Class'!Z:Z,'Counting Class'!O:O,"=1",'Counting Class'!Z:Z,"=1")</f>
        <v>0</v>
      </c>
      <c r="I11" s="37">
        <f>SUMIFS('Counting Class'!AA:AA,'Counting Class'!P:P,"=1",'Counting Class'!AA:AA,"=1")</f>
        <v>0</v>
      </c>
      <c r="J11" s="37">
        <f>SUMIFS('Counting Class'!AB:AB,'Counting Class'!Q:Q,"=1",'Counting Class'!AB:AB,"=1")</f>
        <v>0</v>
      </c>
      <c r="K11" s="37">
        <f>SUMIFS('Counting Class'!AC:AC,'Counting Class'!R:R,"=1",'Counting Class'!AC:AC,"=1")</f>
        <v>0</v>
      </c>
      <c r="L11" s="37">
        <f>SUMIFS('Counting Class'!AD:AD,'Counting Class'!S:S,"=1",'Counting Class'!AD:AD,"=1")</f>
        <v>0</v>
      </c>
      <c r="M11" s="37">
        <f>SUMIFS('Counting Class'!AE:AE,'Counting Class'!T:T,"=1",'Counting Class'!AE:AE,"=1")</f>
        <v>2</v>
      </c>
      <c r="N11" s="37">
        <f>SUMIFS('Counting Class'!AF:AF,'Counting Class'!U:U,"=1",'Counting Class'!AF:AF,"=1")</f>
        <v>0</v>
      </c>
      <c r="O11" s="37">
        <f>SUMIFS('Counting Class'!AG:AG,'Counting Class'!V:V,"=1",'Counting Class'!AG:AG,"=1")</f>
        <v>0</v>
      </c>
      <c r="P11" s="37">
        <f>SUMIFS('Counting Class'!AH:AH,'Counting Class'!W:W,"=1",'Counting Class'!AH:AH,"=1")</f>
        <v>0</v>
      </c>
      <c r="R11" s="33">
        <f>SUM(Areas!$B11:$P11)</f>
        <v>66</v>
      </c>
    </row>
    <row r="12" spans="1:18" ht="14.25" customHeight="1">
      <c r="A12" s="37" t="s">
        <v>82</v>
      </c>
      <c r="B12" s="37">
        <f>SUMIFS('Counting Class'!T:T,'Counting Class'!L:L,"=1",'Counting Class'!T:T,"=1")</f>
        <v>3</v>
      </c>
      <c r="C12" s="37">
        <f>SUMIFS('Counting Class'!U:U,'Counting Class'!L:L,"=1",'Counting Class'!U:U,"=1")</f>
        <v>5</v>
      </c>
      <c r="D12" s="37">
        <f>SUMIFS('Counting Class'!V:V,'Counting Class'!L:L,"=1",'Counting Class'!V:V,"=1")</f>
        <v>0</v>
      </c>
      <c r="E12" s="37">
        <f>SUMIFS('Counting Class'!W:W,'Counting Class'!M:M,"=1",'Counting Class'!W:W,"=1")</f>
        <v>11</v>
      </c>
      <c r="F12" s="37">
        <f>SUMIFS('Counting Class'!X:X,'Counting Class'!N:N,"=1",'Counting Class'!X:X,"=1")</f>
        <v>2</v>
      </c>
      <c r="G12" s="37">
        <f>SUMIFS('Counting Class'!Y:Y,'Counting Class'!O:O,"=1",'Counting Class'!Y:Y,"=1")</f>
        <v>1</v>
      </c>
      <c r="H12" s="37">
        <f>SUMIFS('Counting Class'!Z:Z,'Counting Class'!P:P,"=1",'Counting Class'!Z:Z,"=1")</f>
        <v>1</v>
      </c>
      <c r="I12" s="37">
        <f>SUMIFS('Counting Class'!AA:AA,'Counting Class'!Q:Q,"=1",'Counting Class'!AA:AA,"=1")</f>
        <v>0</v>
      </c>
      <c r="J12" s="37">
        <f>SUMIFS('Counting Class'!AB:AB,'Counting Class'!R:R,"=1",'Counting Class'!AB:AB,"=1")</f>
        <v>0</v>
      </c>
      <c r="K12" s="37">
        <f>SUMIFS('Counting Class'!AC:AC,'Counting Class'!S:S,"=1",'Counting Class'!AC:AC,"=1")</f>
        <v>1</v>
      </c>
      <c r="L12" s="37">
        <f>SUMIFS('Counting Class'!AD:AD,'Counting Class'!T:T,"=1",'Counting Class'!AD:AD,"=1")</f>
        <v>0</v>
      </c>
      <c r="M12" s="37">
        <f>SUMIFS('Counting Class'!AE:AE,'Counting Class'!U:U,"=1",'Counting Class'!AE:AE,"=1")</f>
        <v>2</v>
      </c>
      <c r="N12" s="37">
        <f>SUMIFS('Counting Class'!AF:AF,'Counting Class'!V:V,"=1",'Counting Class'!AF:AF,"=1")</f>
        <v>0</v>
      </c>
      <c r="O12" s="37">
        <f>SUMIFS('Counting Class'!AG:AG,'Counting Class'!W:W,"=1",'Counting Class'!AG:AG,"=1")</f>
        <v>0</v>
      </c>
      <c r="P12" s="37">
        <f>SUMIFS('Counting Class'!AH:AH,'Counting Class'!X:X,"=1",'Counting Class'!AH:AH,"=1")</f>
        <v>0</v>
      </c>
      <c r="R12" s="33">
        <f>SUM(Areas!$B12:$P12)</f>
        <v>26</v>
      </c>
    </row>
    <row r="13" spans="1:18" ht="14.25" customHeight="1">
      <c r="A13" s="37" t="s">
        <v>83</v>
      </c>
      <c r="B13" s="37">
        <f>SUMIFS('Counting Class'!T:T,'Counting Class'!M:M,"=1",'Counting Class'!T:T,"=1")</f>
        <v>56</v>
      </c>
      <c r="C13" s="37">
        <f>SUMIFS('Counting Class'!U:U,'Counting Class'!M:M,"=1",'Counting Class'!U:U,"=1")</f>
        <v>23</v>
      </c>
      <c r="D13" s="37">
        <f>SUMIFS('Counting Class'!V:V,'Counting Class'!M:M,"=1",'Counting Class'!V:V,"=1")</f>
        <v>10</v>
      </c>
      <c r="E13" s="37">
        <f>SUMIFS('Counting Class'!W:W,'Counting Class'!N:N,"=1",'Counting Class'!W:W,"=1")</f>
        <v>1</v>
      </c>
      <c r="F13" s="37">
        <f>SUMIFS('Counting Class'!X:X,'Counting Class'!O:O,"=1",'Counting Class'!X:X,"=1")</f>
        <v>0</v>
      </c>
      <c r="G13" s="37">
        <f>SUMIFS('Counting Class'!Y:Y,'Counting Class'!P:P,"=1",'Counting Class'!Y:Y,"=1")</f>
        <v>0</v>
      </c>
      <c r="H13" s="37">
        <f>SUMIFS('Counting Class'!Z:Z,'Counting Class'!Q:Q,"=1",'Counting Class'!Z:Z,"=1")</f>
        <v>0</v>
      </c>
      <c r="I13" s="37">
        <f>SUMIFS('Counting Class'!AA:AA,'Counting Class'!R:R,"=1",'Counting Class'!AA:AA,"=1")</f>
        <v>0</v>
      </c>
      <c r="J13" s="37">
        <f>SUMIFS('Counting Class'!AB:AB,'Counting Class'!S:S,"=1",'Counting Class'!AB:AB,"=1")</f>
        <v>0</v>
      </c>
      <c r="K13" s="37">
        <f>SUMIFS('Counting Class'!AC:AC,'Counting Class'!T:T,"=1",'Counting Class'!AC:AC,"=1")</f>
        <v>0</v>
      </c>
      <c r="L13" s="37">
        <f>SUMIFS('Counting Class'!AD:AD,'Counting Class'!U:U,"=1",'Counting Class'!AD:AD,"=1")</f>
        <v>0</v>
      </c>
      <c r="M13" s="37">
        <f>SUMIFS('Counting Class'!AE:AE,'Counting Class'!V:V,"=1",'Counting Class'!AE:AE,"=1")</f>
        <v>2</v>
      </c>
      <c r="N13" s="37">
        <f>SUMIFS('Counting Class'!AF:AF,'Counting Class'!W:W,"=1",'Counting Class'!AF:AF,"=1")</f>
        <v>0</v>
      </c>
      <c r="O13" s="37">
        <f>SUMIFS('Counting Class'!AG:AG,'Counting Class'!X:X,"=1",'Counting Class'!AG:AG,"=1")</f>
        <v>0</v>
      </c>
      <c r="P13" s="37">
        <f>SUMIFS('Counting Class'!AH:AH,'Counting Class'!Y:Y,"=1",'Counting Class'!AH:AH,"=1")</f>
        <v>0</v>
      </c>
      <c r="R13" s="33">
        <f>SUM(Areas!$B13:$P13)</f>
        <v>92</v>
      </c>
    </row>
    <row r="14" spans="1:18" ht="14.25" customHeight="1">
      <c r="A14" s="37" t="s">
        <v>84</v>
      </c>
      <c r="B14" s="37">
        <f>SUMIFS('Counting Class'!T:T,'Counting Class'!N:N,"=1",'Counting Class'!T:T,"=1")</f>
        <v>10</v>
      </c>
      <c r="C14" s="37">
        <f>SUMIFS('Counting Class'!U:U,'Counting Class'!N:N,"=1",'Counting Class'!U:U,"=1")</f>
        <v>6</v>
      </c>
      <c r="D14" s="37">
        <f>SUMIFS('Counting Class'!V:V,'Counting Class'!N:N,"=1",'Counting Class'!V:V,"=1")</f>
        <v>0</v>
      </c>
      <c r="E14" s="37">
        <f>SUMIFS('Counting Class'!W:W,'Counting Class'!O:O,"=1",'Counting Class'!W:W,"=1")</f>
        <v>0</v>
      </c>
      <c r="F14" s="37">
        <f>SUMIFS('Counting Class'!X:X,'Counting Class'!P:P,"=1",'Counting Class'!X:X,"=1")</f>
        <v>1</v>
      </c>
      <c r="G14" s="37">
        <f>SUMIFS('Counting Class'!Y:Y,'Counting Class'!Q:Q,"=1",'Counting Class'!Y:Y,"=1")</f>
        <v>2</v>
      </c>
      <c r="H14" s="37">
        <f>SUMIFS('Counting Class'!Z:Z,'Counting Class'!R:R,"=1",'Counting Class'!Z:Z,"=1")</f>
        <v>1</v>
      </c>
      <c r="I14" s="37">
        <f>SUMIFS('Counting Class'!AA:AA,'Counting Class'!S:S,"=1",'Counting Class'!AA:AA,"=1")</f>
        <v>0</v>
      </c>
      <c r="J14" s="37">
        <f>SUMIFS('Counting Class'!AB:AB,'Counting Class'!T:T,"=1",'Counting Class'!AB:AB,"=1")</f>
        <v>0</v>
      </c>
      <c r="K14" s="37">
        <f>SUMIFS('Counting Class'!AC:AC,'Counting Class'!U:U,"=1",'Counting Class'!AC:AC,"=1")</f>
        <v>0</v>
      </c>
      <c r="L14" s="37">
        <f>SUMIFS('Counting Class'!AD:AD,'Counting Class'!V:V,"=1",'Counting Class'!AD:AD,"=1")</f>
        <v>0</v>
      </c>
      <c r="M14" s="37">
        <f>SUMIFS('Counting Class'!AE:AE,'Counting Class'!W:W,"=1",'Counting Class'!AE:AE,"=1")</f>
        <v>2</v>
      </c>
      <c r="N14" s="37">
        <f>SUMIFS('Counting Class'!AF:AF,'Counting Class'!X:X,"=1",'Counting Class'!AF:AF,"=1")</f>
        <v>0</v>
      </c>
      <c r="O14" s="37">
        <f>SUMIFS('Counting Class'!AG:AG,'Counting Class'!Y:Y,"=1",'Counting Class'!AG:AG,"=1")</f>
        <v>0</v>
      </c>
      <c r="P14" s="37">
        <f>SUMIFS('Counting Class'!AH:AH,'Counting Class'!Z:Z,"=1",'Counting Class'!AH:AH,"=1")</f>
        <v>0</v>
      </c>
      <c r="R14" s="33">
        <f>SUM(Areas!$B14:$P14)</f>
        <v>22</v>
      </c>
    </row>
    <row r="15" spans="1:18" ht="14.25" customHeight="1">
      <c r="A15" s="37" t="s">
        <v>85</v>
      </c>
      <c r="B15" s="37">
        <f>SUMIFS('Counting Class'!T:T,'Counting Class'!O:O,"=1",'Counting Class'!T:T,"=1")</f>
        <v>0</v>
      </c>
      <c r="C15" s="37">
        <f>SUMIFS('Counting Class'!U:U,'Counting Class'!O:O,"=1",'Counting Class'!U:U,"=1")</f>
        <v>0</v>
      </c>
      <c r="D15" s="37">
        <f>SUMIFS('Counting Class'!V:V,'Counting Class'!O:O,"=1",'Counting Class'!V:V,"=1")</f>
        <v>0</v>
      </c>
      <c r="E15" s="37">
        <f>SUMIFS('Counting Class'!W:W,'Counting Class'!P:P,"=1",'Counting Class'!W:W,"=1")</f>
        <v>0</v>
      </c>
      <c r="F15" s="37">
        <f>SUMIFS('Counting Class'!X:X,'Counting Class'!Q:Q,"=1",'Counting Class'!X:X,"=1")</f>
        <v>1</v>
      </c>
      <c r="G15" s="37">
        <f>SUMIFS('Counting Class'!Y:Y,'Counting Class'!R:R,"=1",'Counting Class'!Y:Y,"=1")</f>
        <v>1</v>
      </c>
      <c r="H15" s="37">
        <f>SUMIFS('Counting Class'!Z:Z,'Counting Class'!S:S,"=1",'Counting Class'!Z:Z,"=1")</f>
        <v>1</v>
      </c>
      <c r="I15" s="37">
        <f>SUMIFS('Counting Class'!AA:AA,'Counting Class'!T:T,"=1",'Counting Class'!AA:AA,"=1")</f>
        <v>0</v>
      </c>
      <c r="J15" s="37">
        <f>SUMIFS('Counting Class'!AB:AB,'Counting Class'!U:U,"=1",'Counting Class'!AB:AB,"=1")</f>
        <v>0</v>
      </c>
      <c r="K15" s="37">
        <f>SUMIFS('Counting Class'!AC:AC,'Counting Class'!V:V,"=1",'Counting Class'!AC:AC,"=1")</f>
        <v>0</v>
      </c>
      <c r="L15" s="37">
        <f>SUMIFS('Counting Class'!AD:AD,'Counting Class'!W:W,"=1",'Counting Class'!AD:AD,"=1")</f>
        <v>0</v>
      </c>
      <c r="M15" s="37">
        <f>SUMIFS('Counting Class'!AE:AE,'Counting Class'!X:X,"=1",'Counting Class'!AE:AE,"=1")</f>
        <v>0</v>
      </c>
      <c r="N15" s="37">
        <f>SUMIFS('Counting Class'!AF:AF,'Counting Class'!Y:Y,"=1",'Counting Class'!AF:AF,"=1")</f>
        <v>0</v>
      </c>
      <c r="O15" s="37">
        <f>SUMIFS('Counting Class'!AG:AG,'Counting Class'!Z:Z,"=1",'Counting Class'!AG:AG,"=1")</f>
        <v>0</v>
      </c>
      <c r="P15" s="37">
        <f>SUMIFS('Counting Class'!AH:AH,'Counting Class'!AA:AA,"=1",'Counting Class'!AH:AH,"=1")</f>
        <v>0</v>
      </c>
      <c r="R15" s="33">
        <f>SUM(Areas!$B15:$P15)</f>
        <v>3</v>
      </c>
    </row>
    <row r="16" spans="1:18" ht="14.25" customHeight="1">
      <c r="A16" s="37" t="s">
        <v>86</v>
      </c>
      <c r="B16" s="37">
        <f>SUMIFS('Counting Class'!T:T,'Counting Class'!P:P,"=1",'Counting Class'!T:T,"=1")</f>
        <v>3</v>
      </c>
      <c r="C16" s="37">
        <f>SUMIFS('Counting Class'!U:U,'Counting Class'!P:P,"=1",'Counting Class'!U:U,"=1")</f>
        <v>0</v>
      </c>
      <c r="D16" s="37">
        <f>SUMIFS('Counting Class'!V:V,'Counting Class'!P:P,"=1",'Counting Class'!V:V,"=1")</f>
        <v>0</v>
      </c>
      <c r="E16" s="37">
        <f>SUMIFS('Counting Class'!W:W,'Counting Class'!Q:Q,"=1",'Counting Class'!W:W,"=1")</f>
        <v>0</v>
      </c>
      <c r="F16" s="37">
        <f>SUMIFS('Counting Class'!X:X,'Counting Class'!R:R,"=1",'Counting Class'!X:X,"=1")</f>
        <v>1</v>
      </c>
      <c r="G16" s="37">
        <f>SUMIFS('Counting Class'!Y:Y,'Counting Class'!S:S,"=1",'Counting Class'!Y:Y,"=1")</f>
        <v>1</v>
      </c>
      <c r="H16" s="37">
        <f>SUMIFS('Counting Class'!Z:Z,'Counting Class'!T:T,"=1",'Counting Class'!Z:Z,"=1")</f>
        <v>4</v>
      </c>
      <c r="I16" s="37">
        <f>SUMIFS('Counting Class'!AA:AA,'Counting Class'!U:U,"=1",'Counting Class'!AA:AA,"=1")</f>
        <v>2</v>
      </c>
      <c r="J16" s="37">
        <f>SUMIFS('Counting Class'!AB:AB,'Counting Class'!V:V,"=1",'Counting Class'!AB:AB,"=1")</f>
        <v>0</v>
      </c>
      <c r="K16" s="37">
        <f>SUMIFS('Counting Class'!AC:AC,'Counting Class'!W:W,"=1",'Counting Class'!AC:AC,"=1")</f>
        <v>0</v>
      </c>
      <c r="L16" s="37">
        <f>SUMIFS('Counting Class'!AD:AD,'Counting Class'!X:X,"=1",'Counting Class'!AD:AD,"=1")</f>
        <v>0</v>
      </c>
      <c r="M16" s="37">
        <f>SUMIFS('Counting Class'!AE:AE,'Counting Class'!Y:Y,"=1",'Counting Class'!AE:AE,"=1")</f>
        <v>0</v>
      </c>
      <c r="N16" s="37">
        <f>SUMIFS('Counting Class'!AF:AF,'Counting Class'!Z:Z,"=1",'Counting Class'!AF:AF,"=1")</f>
        <v>0</v>
      </c>
      <c r="O16" s="37">
        <f>SUMIFS('Counting Class'!AG:AG,'Counting Class'!AA:AA,"=1",'Counting Class'!AG:AG,"=1")</f>
        <v>0</v>
      </c>
      <c r="P16" s="37">
        <f>SUMIFS('Counting Class'!AH:AH,'Counting Class'!AB:AB,"=1",'Counting Class'!AH:AH,"=1")</f>
        <v>0</v>
      </c>
      <c r="R16" s="33">
        <f>SUM(Areas!$B16:$P16)</f>
        <v>11</v>
      </c>
    </row>
    <row r="17" spans="1:27" ht="14.25" customHeight="1">
      <c r="A17" s="37" t="s">
        <v>87</v>
      </c>
      <c r="B17" s="37">
        <f>SUMIFS('Counting Class'!T:T,'Counting Class'!Q:Q,"=1",'Counting Class'!T:T,"=1")</f>
        <v>11</v>
      </c>
      <c r="C17" s="37">
        <f>SUMIFS('Counting Class'!U:U,'Counting Class'!Q:Q,"=1",'Counting Class'!U:U,"=1")</f>
        <v>4</v>
      </c>
      <c r="D17" s="37">
        <f>SUMIFS('Counting Class'!V:V,'Counting Class'!Q:Q,"=1",'Counting Class'!V:V,"=1")</f>
        <v>0</v>
      </c>
      <c r="E17" s="37">
        <f>SUMIFS('Counting Class'!W:W,'Counting Class'!R:R,"=1",'Counting Class'!W:W,"=1")</f>
        <v>1</v>
      </c>
      <c r="F17" s="37">
        <f>SUMIFS('Counting Class'!X:X,'Counting Class'!S:S,"=1",'Counting Class'!X:X,"=1")</f>
        <v>1</v>
      </c>
      <c r="G17" s="37">
        <f>SUMIFS('Counting Class'!Y:Y,'Counting Class'!T:T,"=1",'Counting Class'!Y:Y,"=1")</f>
        <v>8</v>
      </c>
      <c r="H17" s="37">
        <f>SUMIFS('Counting Class'!Z:Z,'Counting Class'!U:U,"=1",'Counting Class'!Z:Z,"=1")</f>
        <v>5</v>
      </c>
      <c r="I17" s="37">
        <f>SUMIFS('Counting Class'!AA:AA,'Counting Class'!V:V,"=1",'Counting Class'!AA:AA,"=1")</f>
        <v>0</v>
      </c>
      <c r="J17" s="37">
        <f>SUMIFS('Counting Class'!AB:AB,'Counting Class'!W:W,"=1",'Counting Class'!AB:AB,"=1")</f>
        <v>0</v>
      </c>
      <c r="K17" s="37">
        <f>SUMIFS('Counting Class'!AC:AC,'Counting Class'!X:X,"=1",'Counting Class'!AC:AC,"=1")</f>
        <v>0</v>
      </c>
      <c r="L17" s="37">
        <f>SUMIFS('Counting Class'!AD:AD,'Counting Class'!Y:Y,"=1",'Counting Class'!AD:AD,"=1")</f>
        <v>0</v>
      </c>
      <c r="M17" s="37">
        <f>SUMIFS('Counting Class'!AE:AE,'Counting Class'!Z:Z,"=1",'Counting Class'!AE:AE,"=1")</f>
        <v>0</v>
      </c>
      <c r="N17" s="37">
        <f>SUMIFS('Counting Class'!AF:AF,'Counting Class'!AA:AA,"=1",'Counting Class'!AF:AF,"=1")</f>
        <v>0</v>
      </c>
      <c r="O17" s="37">
        <f>SUMIFS('Counting Class'!AG:AG,'Counting Class'!AB:AB,"=1",'Counting Class'!AG:AG,"=1")</f>
        <v>0</v>
      </c>
      <c r="P17" s="37">
        <f>SUMIFS('Counting Class'!AH:AH,'Counting Class'!AC:AC,"=1",'Counting Class'!AH:AH,"=1")</f>
        <v>0</v>
      </c>
      <c r="R17" s="33">
        <f>SUM(Areas!$B17:$P17)</f>
        <v>30</v>
      </c>
    </row>
    <row r="18" spans="1:27" ht="14.25" customHeight="1">
      <c r="A18" s="37" t="s">
        <v>88</v>
      </c>
      <c r="B18" s="37">
        <f>SUMIFS('Counting Class'!T:T,'Counting Class'!R:R,"=1",'Counting Class'!T:T,"=1")</f>
        <v>8</v>
      </c>
      <c r="C18" s="37">
        <f>SUMIFS('Counting Class'!U:U,'Counting Class'!R:R,"=1",'Counting Class'!U:U,"=1")</f>
        <v>9</v>
      </c>
      <c r="D18" s="37">
        <f>SUMIFS('Counting Class'!V:V,'Counting Class'!R:R,"=1",'Counting Class'!V:V,"=1")</f>
        <v>1</v>
      </c>
      <c r="E18" s="37">
        <f>SUMIFS('Counting Class'!W:W,'Counting Class'!S:S,"=1",'Counting Class'!W:W,"=1")</f>
        <v>0</v>
      </c>
      <c r="F18" s="37">
        <f>SUMIFS('Counting Class'!X:X,'Counting Class'!T:T,"=1",'Counting Class'!X:X,"=1")</f>
        <v>15</v>
      </c>
      <c r="G18" s="37">
        <f>SUMIFS('Counting Class'!Y:Y,'Counting Class'!U:U,"=1",'Counting Class'!Y:Y,"=1")</f>
        <v>6</v>
      </c>
      <c r="H18" s="37">
        <f>SUMIFS('Counting Class'!Z:Z,'Counting Class'!V:V,"=1",'Counting Class'!Z:Z,"=1")</f>
        <v>3</v>
      </c>
      <c r="I18" s="37">
        <f>SUMIFS('Counting Class'!AA:AA,'Counting Class'!W:W,"=1",'Counting Class'!AA:AA,"=1")</f>
        <v>0</v>
      </c>
      <c r="J18" s="37">
        <f>SUMIFS('Counting Class'!AB:AB,'Counting Class'!X:X,"=1",'Counting Class'!AB:AB,"=1")</f>
        <v>0</v>
      </c>
      <c r="K18" s="37">
        <f>SUMIFS('Counting Class'!AC:AC,'Counting Class'!Y:Y,"=1",'Counting Class'!AC:AC,"=1")</f>
        <v>0</v>
      </c>
      <c r="L18" s="37">
        <f>SUMIFS('Counting Class'!AD:AD,'Counting Class'!Z:Z,"=1",'Counting Class'!AD:AD,"=1")</f>
        <v>0</v>
      </c>
      <c r="M18" s="37">
        <f>SUMIFS('Counting Class'!AE:AE,'Counting Class'!AA:AA,"=1",'Counting Class'!AE:AE,"=1")</f>
        <v>0</v>
      </c>
      <c r="N18" s="37">
        <f>SUMIFS('Counting Class'!AF:AF,'Counting Class'!AB:AB,"=1",'Counting Class'!AF:AF,"=1")</f>
        <v>0</v>
      </c>
      <c r="O18" s="37">
        <f>SUMIFS('Counting Class'!AG:AG,'Counting Class'!AC:AC,"=1",'Counting Class'!AG:AG,"=1")</f>
        <v>0</v>
      </c>
      <c r="P18" s="37">
        <f>SUMIFS('Counting Class'!AH:AH,'Counting Class'!AD:AD,"=1",'Counting Class'!AH:AH,"=1")</f>
        <v>0</v>
      </c>
      <c r="R18" s="33">
        <f>SUM(Areas!$B18:$P18)</f>
        <v>42</v>
      </c>
    </row>
    <row r="19" spans="1:27" ht="14.25" customHeight="1">
      <c r="A19" s="37" t="s">
        <v>89</v>
      </c>
      <c r="B19" s="37">
        <f>SUMIFS('Counting Class'!T:T,'Counting Class'!S:S,"=1",'Counting Class'!T:T,"=1")</f>
        <v>2</v>
      </c>
      <c r="C19" s="37">
        <f>SUMIFS('Counting Class'!U:U,'Counting Class'!S:S,"=1",'Counting Class'!U:U,"=1")</f>
        <v>1</v>
      </c>
      <c r="D19" s="37">
        <f>SUMIFS('Counting Class'!V:V,'Counting Class'!S:S,"=1",'Counting Class'!V:V,"=1")</f>
        <v>0</v>
      </c>
      <c r="E19" s="37">
        <f>SUMIFS('Counting Class'!W:W,'Counting Class'!T:T,"=1",'Counting Class'!W:W,"=1")</f>
        <v>11</v>
      </c>
      <c r="F19" s="37">
        <f>SUMIFS('Counting Class'!X:X,'Counting Class'!U:U,"=1",'Counting Class'!X:X,"=1")</f>
        <v>7</v>
      </c>
      <c r="G19" s="37">
        <f>SUMIFS('Counting Class'!Y:Y,'Counting Class'!V:V,"=1",'Counting Class'!Y:Y,"=1")</f>
        <v>2</v>
      </c>
      <c r="H19" s="37">
        <f>SUMIFS('Counting Class'!Z:Z,'Counting Class'!W:W,"=1",'Counting Class'!Z:Z,"=1")</f>
        <v>2</v>
      </c>
      <c r="I19" s="37">
        <f>SUMIFS('Counting Class'!AA:AA,'Counting Class'!X:X,"=1",'Counting Class'!AA:AA,"=1")</f>
        <v>0</v>
      </c>
      <c r="J19" s="37">
        <f>SUMIFS('Counting Class'!AB:AB,'Counting Class'!Y:Y,"=1",'Counting Class'!AB:AB,"=1")</f>
        <v>0</v>
      </c>
      <c r="K19" s="37">
        <f>SUMIFS('Counting Class'!AC:AC,'Counting Class'!Z:Z,"=1",'Counting Class'!AC:AC,"=1")</f>
        <v>0</v>
      </c>
      <c r="L19" s="37">
        <f>SUMIFS('Counting Class'!AD:AD,'Counting Class'!AA:AA,"=1",'Counting Class'!AD:AD,"=1")</f>
        <v>0</v>
      </c>
      <c r="M19" s="37">
        <f>SUMIFS('Counting Class'!AE:AE,'Counting Class'!AB:AB,"=1",'Counting Class'!AE:AE,"=1")</f>
        <v>0</v>
      </c>
      <c r="N19" s="37">
        <f>SUMIFS('Counting Class'!AF:AF,'Counting Class'!AC:AC,"=1",'Counting Class'!AF:AF,"=1")</f>
        <v>0</v>
      </c>
      <c r="O19" s="37">
        <f>SUMIFS('Counting Class'!AG:AG,'Counting Class'!AD:AD,"=1",'Counting Class'!AG:AG,"=1")</f>
        <v>0</v>
      </c>
      <c r="P19" s="37">
        <f>SUMIFS('Counting Class'!AH:AH,'Counting Class'!AE:AE,"=1",'Counting Class'!AH:AH,"=1")</f>
        <v>0</v>
      </c>
      <c r="R19" s="33">
        <f>SUM(Areas!$B19:$P19)</f>
        <v>25</v>
      </c>
    </row>
    <row r="20" spans="1:27" ht="14.25" hidden="1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36"/>
      <c r="O20" s="36"/>
      <c r="P20" s="36"/>
      <c r="R20" s="15"/>
    </row>
    <row r="21" spans="1:27" ht="35.25" customHeight="1">
      <c r="A21" s="32" t="s">
        <v>90</v>
      </c>
      <c r="B21" s="33">
        <f>SUM(Areas!$B$2:$B$19)</f>
        <v>265</v>
      </c>
      <c r="C21" s="33">
        <f>SUM(Areas!$C$2:$C$19)</f>
        <v>112</v>
      </c>
      <c r="D21" s="33">
        <f>SUM(Areas!$D$2:$D$19)</f>
        <v>19</v>
      </c>
      <c r="E21" s="33">
        <f>SUM(Areas!$E$2:$E$19)</f>
        <v>35</v>
      </c>
      <c r="F21" s="33">
        <f>SUM(Areas!$F$2:$F$19)</f>
        <v>50</v>
      </c>
      <c r="G21" s="33">
        <f>SUM(Areas!$G$2:$G$19)</f>
        <v>40</v>
      </c>
      <c r="H21" s="33">
        <f>SUM(Areas!$H$2:$H$19)</f>
        <v>32</v>
      </c>
      <c r="I21" s="33">
        <f>SUM(Areas!$I$2:$I$19)</f>
        <v>7</v>
      </c>
      <c r="J21" s="34">
        <f>SUM(Areas!$J$2:$J$19)</f>
        <v>0</v>
      </c>
      <c r="K21" s="34">
        <f>SUM(Areas!$K$2:$K$19)</f>
        <v>14</v>
      </c>
      <c r="L21" s="34">
        <f>SUM(Areas!$L$2:$L$19)</f>
        <v>1</v>
      </c>
      <c r="M21" s="34">
        <f>SUM(Areas!$M$2:$M$19)</f>
        <v>10</v>
      </c>
      <c r="N21" s="34">
        <f>SUM(Areas!$N$2:$N$19)</f>
        <v>1</v>
      </c>
      <c r="O21" s="34">
        <f>SUM(Areas!$O$2:$O$19)</f>
        <v>0</v>
      </c>
      <c r="P21" s="34">
        <f>SUM(Areas!$P$2:$P$19)</f>
        <v>0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4.25" customHeight="1">
      <c r="R22" s="15"/>
    </row>
    <row r="23" spans="1:27" ht="14.25" customHeight="1">
      <c r="A23" s="1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R23" s="15"/>
    </row>
    <row r="24" spans="1:27" ht="40.5" customHeight="1">
      <c r="A24" s="26" t="s">
        <v>331</v>
      </c>
      <c r="B24" s="26" t="s">
        <v>71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8"/>
      <c r="O24" s="18"/>
      <c r="P24" s="18"/>
      <c r="R24" s="15"/>
    </row>
    <row r="25" spans="1:27" ht="14.25" customHeight="1">
      <c r="A25" s="24" t="s">
        <v>83</v>
      </c>
      <c r="B25" s="24">
        <v>92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8"/>
      <c r="O25" s="18"/>
      <c r="P25" s="18"/>
      <c r="R25" s="15"/>
    </row>
    <row r="26" spans="1:27" ht="14.25" customHeight="1">
      <c r="A26" s="24" t="s">
        <v>81</v>
      </c>
      <c r="B26" s="24">
        <v>66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8"/>
      <c r="O26" s="18"/>
      <c r="P26" s="18"/>
      <c r="R26" s="15"/>
    </row>
    <row r="27" spans="1:27" ht="14.25" customHeight="1">
      <c r="A27" s="24" t="s">
        <v>73</v>
      </c>
      <c r="B27" s="24">
        <v>60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8"/>
      <c r="O27" s="18"/>
      <c r="P27" s="18"/>
      <c r="R27" s="15"/>
    </row>
    <row r="28" spans="1:27" ht="14.25" customHeight="1">
      <c r="A28" s="24" t="s">
        <v>72</v>
      </c>
      <c r="B28" s="24">
        <v>50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8"/>
      <c r="O28" s="18"/>
      <c r="P28" s="18"/>
      <c r="R28" s="15"/>
    </row>
    <row r="29" spans="1:27" ht="14.25" customHeight="1">
      <c r="A29" s="24" t="s">
        <v>80</v>
      </c>
      <c r="B29" s="24">
        <v>45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8"/>
      <c r="O29" s="18"/>
      <c r="P29" s="18"/>
      <c r="R29" s="15"/>
    </row>
    <row r="30" spans="1:27" ht="14.25" customHeight="1">
      <c r="A30" s="24" t="s">
        <v>88</v>
      </c>
      <c r="B30" s="24">
        <v>42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8"/>
      <c r="O30" s="18"/>
      <c r="P30" s="18"/>
      <c r="R30" s="15"/>
    </row>
    <row r="31" spans="1:27" ht="14.25" customHeight="1">
      <c r="A31" s="24" t="s">
        <v>76</v>
      </c>
      <c r="B31" s="24">
        <v>33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8"/>
      <c r="O31" s="18"/>
      <c r="P31" s="18"/>
      <c r="R31" s="15"/>
    </row>
    <row r="32" spans="1:27" ht="14.25" customHeight="1">
      <c r="A32" s="24" t="s">
        <v>87</v>
      </c>
      <c r="B32" s="24">
        <v>30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8"/>
      <c r="O32" s="18"/>
      <c r="P32" s="18"/>
      <c r="R32" s="15"/>
    </row>
    <row r="33" spans="1:18" ht="14.25" customHeight="1">
      <c r="A33" s="24" t="s">
        <v>82</v>
      </c>
      <c r="B33" s="24">
        <v>26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8"/>
      <c r="O33" s="18"/>
      <c r="P33" s="18"/>
      <c r="R33" s="15"/>
    </row>
    <row r="34" spans="1:18" ht="14.25" customHeight="1">
      <c r="A34" s="25" t="s">
        <v>89</v>
      </c>
      <c r="B34" s="25">
        <v>25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8"/>
      <c r="O34" s="18"/>
      <c r="P34" s="18"/>
      <c r="R34" s="15"/>
    </row>
    <row r="35" spans="1:18" ht="14.25" customHeight="1">
      <c r="A35" s="24" t="s">
        <v>79</v>
      </c>
      <c r="B35" s="24">
        <v>24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8"/>
      <c r="O35" s="18"/>
      <c r="P35" s="18"/>
      <c r="R35" s="15"/>
    </row>
    <row r="36" spans="1:18" ht="14.25" customHeight="1">
      <c r="A36" s="24" t="s">
        <v>84</v>
      </c>
      <c r="B36" s="24">
        <v>22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8"/>
      <c r="O36" s="18"/>
      <c r="P36" s="18"/>
      <c r="R36" s="15"/>
    </row>
    <row r="37" spans="1:18" ht="14.25" customHeight="1">
      <c r="A37" s="24" t="s">
        <v>74</v>
      </c>
      <c r="B37" s="24">
        <v>21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8"/>
      <c r="O37" s="18"/>
      <c r="P37" s="18"/>
      <c r="R37" s="15"/>
    </row>
    <row r="38" spans="1:18" ht="14.25" customHeight="1">
      <c r="A38" s="24" t="s">
        <v>75</v>
      </c>
      <c r="B38" s="24">
        <v>16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8"/>
      <c r="O38" s="18"/>
      <c r="P38" s="18"/>
      <c r="R38" s="15"/>
    </row>
    <row r="39" spans="1:18" ht="14.25" customHeight="1">
      <c r="A39" s="24" t="s">
        <v>78</v>
      </c>
      <c r="B39" s="24">
        <v>12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8"/>
      <c r="O39" s="18"/>
      <c r="P39" s="18"/>
      <c r="R39" s="15"/>
    </row>
    <row r="40" spans="1:18" ht="14.25" customHeight="1">
      <c r="A40" s="24" t="s">
        <v>86</v>
      </c>
      <c r="B40" s="24">
        <v>11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8"/>
      <c r="O40" s="18"/>
      <c r="P40" s="18"/>
      <c r="R40" s="15"/>
    </row>
    <row r="41" spans="1:18" ht="14.25" customHeight="1">
      <c r="A41" s="24" t="s">
        <v>77</v>
      </c>
      <c r="B41" s="24">
        <v>8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8"/>
      <c r="O41" s="18"/>
      <c r="P41" s="18"/>
      <c r="R41" s="15"/>
    </row>
    <row r="42" spans="1:18" ht="14.25" customHeight="1">
      <c r="A42" s="27" t="s">
        <v>85</v>
      </c>
      <c r="B42" s="27">
        <v>3</v>
      </c>
      <c r="R42" s="15"/>
    </row>
    <row r="43" spans="1:18" ht="14.25" customHeight="1">
      <c r="R43" s="15"/>
    </row>
    <row r="44" spans="1:18" ht="14.25" customHeight="1">
      <c r="R44" s="15"/>
    </row>
    <row r="45" spans="1:18" ht="14.25" customHeight="1">
      <c r="A45" t="s">
        <v>331</v>
      </c>
      <c r="B45" t="s">
        <v>9</v>
      </c>
      <c r="C45" t="s">
        <v>14</v>
      </c>
      <c r="D45" t="s">
        <v>18</v>
      </c>
      <c r="E45" t="s">
        <v>21</v>
      </c>
      <c r="F45" t="s">
        <v>24</v>
      </c>
      <c r="G45" t="s">
        <v>27</v>
      </c>
      <c r="H45" t="s">
        <v>29</v>
      </c>
      <c r="I45" t="s">
        <v>32</v>
      </c>
      <c r="J45" s="63" t="s">
        <v>35</v>
      </c>
      <c r="K45" t="s">
        <v>38</v>
      </c>
      <c r="L45" t="s">
        <v>40</v>
      </c>
      <c r="M45" t="s">
        <v>42</v>
      </c>
      <c r="N45" t="s">
        <v>45</v>
      </c>
      <c r="O45" s="63" t="s">
        <v>48</v>
      </c>
      <c r="P45" s="63" t="s">
        <v>51</v>
      </c>
      <c r="R45" s="15" t="s">
        <v>71</v>
      </c>
    </row>
    <row r="46" spans="1:18" ht="14.25" customHeight="1">
      <c r="A46" t="s">
        <v>83</v>
      </c>
      <c r="B46">
        <v>56</v>
      </c>
      <c r="C46">
        <v>23</v>
      </c>
      <c r="D46">
        <v>10</v>
      </c>
      <c r="E46">
        <v>1</v>
      </c>
      <c r="F46">
        <v>0</v>
      </c>
      <c r="G46">
        <v>0</v>
      </c>
      <c r="H46">
        <v>0</v>
      </c>
      <c r="I46">
        <v>0</v>
      </c>
      <c r="J46" s="63">
        <v>0</v>
      </c>
      <c r="K46">
        <v>0</v>
      </c>
      <c r="L46">
        <v>0</v>
      </c>
      <c r="M46">
        <v>2</v>
      </c>
      <c r="N46">
        <v>0</v>
      </c>
      <c r="O46" s="63">
        <v>0</v>
      </c>
      <c r="P46" s="63">
        <v>0</v>
      </c>
      <c r="R46" s="15">
        <v>92</v>
      </c>
    </row>
    <row r="47" spans="1:18" ht="14.25" customHeight="1">
      <c r="A47" t="s">
        <v>81</v>
      </c>
      <c r="B47">
        <v>34</v>
      </c>
      <c r="C47">
        <v>17</v>
      </c>
      <c r="D47">
        <v>2</v>
      </c>
      <c r="E47">
        <v>1</v>
      </c>
      <c r="F47">
        <v>10</v>
      </c>
      <c r="G47">
        <v>0</v>
      </c>
      <c r="H47">
        <v>0</v>
      </c>
      <c r="I47">
        <v>0</v>
      </c>
      <c r="J47" s="63">
        <v>0</v>
      </c>
      <c r="K47">
        <v>0</v>
      </c>
      <c r="L47">
        <v>0</v>
      </c>
      <c r="M47">
        <v>2</v>
      </c>
      <c r="N47">
        <v>0</v>
      </c>
      <c r="O47" s="63">
        <v>0</v>
      </c>
      <c r="P47" s="63">
        <v>0</v>
      </c>
      <c r="R47" s="15">
        <v>66</v>
      </c>
    </row>
    <row r="48" spans="1:18" ht="14.25" customHeight="1">
      <c r="A48" t="s">
        <v>73</v>
      </c>
      <c r="B48">
        <v>36</v>
      </c>
      <c r="C48">
        <v>14</v>
      </c>
      <c r="D48">
        <v>4</v>
      </c>
      <c r="E48">
        <v>0</v>
      </c>
      <c r="F48">
        <v>1</v>
      </c>
      <c r="G48">
        <v>2</v>
      </c>
      <c r="H48">
        <v>0</v>
      </c>
      <c r="I48">
        <v>0</v>
      </c>
      <c r="J48" s="63">
        <v>0</v>
      </c>
      <c r="K48">
        <v>2</v>
      </c>
      <c r="L48">
        <v>0</v>
      </c>
      <c r="M48">
        <v>0</v>
      </c>
      <c r="N48">
        <v>1</v>
      </c>
      <c r="O48" s="63">
        <v>0</v>
      </c>
      <c r="P48" s="63">
        <v>0</v>
      </c>
      <c r="R48" s="15">
        <v>60</v>
      </c>
    </row>
    <row r="49" spans="1:18" ht="14.25" customHeight="1">
      <c r="A49" t="s">
        <v>72</v>
      </c>
      <c r="B49">
        <v>33</v>
      </c>
      <c r="C49">
        <v>10</v>
      </c>
      <c r="D49">
        <v>1</v>
      </c>
      <c r="E49">
        <v>2</v>
      </c>
      <c r="F49">
        <v>2</v>
      </c>
      <c r="G49">
        <v>1</v>
      </c>
      <c r="H49">
        <v>1</v>
      </c>
      <c r="I49">
        <v>0</v>
      </c>
      <c r="J49" s="63">
        <v>0</v>
      </c>
      <c r="K49">
        <v>0</v>
      </c>
      <c r="L49">
        <v>0</v>
      </c>
      <c r="M49">
        <v>0</v>
      </c>
      <c r="N49">
        <v>0</v>
      </c>
      <c r="O49" s="63">
        <v>0</v>
      </c>
      <c r="P49" s="63">
        <v>0</v>
      </c>
      <c r="R49" s="15">
        <v>50</v>
      </c>
    </row>
    <row r="50" spans="1:18" ht="14.25" customHeight="1">
      <c r="A50" t="s">
        <v>80</v>
      </c>
      <c r="B50">
        <v>20</v>
      </c>
      <c r="C50">
        <v>7</v>
      </c>
      <c r="D50">
        <v>0</v>
      </c>
      <c r="E50">
        <v>7</v>
      </c>
      <c r="F50">
        <v>0</v>
      </c>
      <c r="G50">
        <v>9</v>
      </c>
      <c r="H50">
        <v>2</v>
      </c>
      <c r="I50">
        <v>0</v>
      </c>
      <c r="J50" s="63">
        <v>0</v>
      </c>
      <c r="K50">
        <v>0</v>
      </c>
      <c r="L50">
        <v>0</v>
      </c>
      <c r="M50">
        <v>0</v>
      </c>
      <c r="N50">
        <v>0</v>
      </c>
      <c r="O50" s="63">
        <v>0</v>
      </c>
      <c r="P50" s="63">
        <v>0</v>
      </c>
      <c r="R50" s="15">
        <v>45</v>
      </c>
    </row>
    <row r="51" spans="1:18" ht="14.25" customHeight="1">
      <c r="A51" s="19" t="s">
        <v>88</v>
      </c>
      <c r="B51" s="20">
        <v>8</v>
      </c>
      <c r="C51" s="20">
        <v>9</v>
      </c>
      <c r="D51">
        <v>1</v>
      </c>
      <c r="E51">
        <v>0</v>
      </c>
      <c r="F51">
        <v>15</v>
      </c>
      <c r="G51">
        <v>6</v>
      </c>
      <c r="H51">
        <v>3</v>
      </c>
      <c r="I51">
        <v>0</v>
      </c>
      <c r="J51" s="63">
        <v>0</v>
      </c>
      <c r="K51">
        <v>0</v>
      </c>
      <c r="L51">
        <v>0</v>
      </c>
      <c r="M51">
        <v>0</v>
      </c>
      <c r="N51">
        <v>0</v>
      </c>
      <c r="O51" s="63">
        <v>0</v>
      </c>
      <c r="P51" s="63">
        <v>0</v>
      </c>
      <c r="R51" s="15">
        <v>42</v>
      </c>
    </row>
    <row r="52" spans="1:18" ht="14.25" customHeight="1">
      <c r="A52" t="s">
        <v>76</v>
      </c>
      <c r="B52">
        <v>18</v>
      </c>
      <c r="C52">
        <v>8</v>
      </c>
      <c r="D52">
        <v>1</v>
      </c>
      <c r="E52">
        <v>0</v>
      </c>
      <c r="F52">
        <v>1</v>
      </c>
      <c r="G52">
        <v>0</v>
      </c>
      <c r="H52">
        <v>2</v>
      </c>
      <c r="I52">
        <v>0</v>
      </c>
      <c r="J52" s="63">
        <v>0</v>
      </c>
      <c r="K52">
        <v>3</v>
      </c>
      <c r="L52">
        <v>0</v>
      </c>
      <c r="M52">
        <v>0</v>
      </c>
      <c r="N52">
        <v>0</v>
      </c>
      <c r="O52" s="63">
        <v>0</v>
      </c>
      <c r="P52" s="63">
        <v>0</v>
      </c>
      <c r="R52" s="15">
        <v>33</v>
      </c>
    </row>
    <row r="53" spans="1:18" ht="14.25" customHeight="1">
      <c r="A53" s="19" t="s">
        <v>87</v>
      </c>
      <c r="B53" s="18">
        <v>11</v>
      </c>
      <c r="C53" s="18">
        <v>4</v>
      </c>
      <c r="D53">
        <v>0</v>
      </c>
      <c r="E53">
        <v>1</v>
      </c>
      <c r="F53">
        <v>1</v>
      </c>
      <c r="G53">
        <v>8</v>
      </c>
      <c r="H53">
        <v>5</v>
      </c>
      <c r="I53">
        <v>0</v>
      </c>
      <c r="J53" s="63">
        <v>0</v>
      </c>
      <c r="K53">
        <v>0</v>
      </c>
      <c r="L53">
        <v>0</v>
      </c>
      <c r="M53">
        <v>0</v>
      </c>
      <c r="N53">
        <v>0</v>
      </c>
      <c r="O53" s="63">
        <v>0</v>
      </c>
      <c r="P53" s="63">
        <v>0</v>
      </c>
      <c r="R53" s="15">
        <v>30</v>
      </c>
    </row>
    <row r="54" spans="1:18" ht="14.25" customHeight="1">
      <c r="A54" t="s">
        <v>82</v>
      </c>
      <c r="B54">
        <v>3</v>
      </c>
      <c r="C54">
        <v>5</v>
      </c>
      <c r="D54">
        <v>0</v>
      </c>
      <c r="E54">
        <v>11</v>
      </c>
      <c r="F54">
        <v>2</v>
      </c>
      <c r="G54">
        <v>1</v>
      </c>
      <c r="H54">
        <v>1</v>
      </c>
      <c r="I54">
        <v>0</v>
      </c>
      <c r="J54" s="63">
        <v>0</v>
      </c>
      <c r="K54">
        <v>1</v>
      </c>
      <c r="L54">
        <v>0</v>
      </c>
      <c r="M54">
        <v>2</v>
      </c>
      <c r="N54">
        <v>0</v>
      </c>
      <c r="O54" s="63">
        <v>0</v>
      </c>
      <c r="P54" s="63">
        <v>0</v>
      </c>
      <c r="R54" s="15">
        <v>26</v>
      </c>
    </row>
    <row r="55" spans="1:18" ht="14.25" customHeight="1">
      <c r="A55" s="8" t="s">
        <v>89</v>
      </c>
      <c r="B55">
        <v>2</v>
      </c>
      <c r="C55">
        <v>1</v>
      </c>
      <c r="D55">
        <v>0</v>
      </c>
      <c r="E55">
        <v>11</v>
      </c>
      <c r="F55">
        <v>7</v>
      </c>
      <c r="G55">
        <v>2</v>
      </c>
      <c r="H55">
        <v>2</v>
      </c>
      <c r="I55">
        <v>0</v>
      </c>
      <c r="J55" s="63">
        <v>0</v>
      </c>
      <c r="K55">
        <v>0</v>
      </c>
      <c r="L55">
        <v>0</v>
      </c>
      <c r="M55">
        <v>0</v>
      </c>
      <c r="N55">
        <v>0</v>
      </c>
      <c r="O55" s="63">
        <v>0</v>
      </c>
      <c r="P55" s="63">
        <v>0</v>
      </c>
      <c r="R55" s="15">
        <v>25</v>
      </c>
    </row>
    <row r="56" spans="1:18" ht="14.25" customHeight="1">
      <c r="A56" t="s">
        <v>79</v>
      </c>
      <c r="B56">
        <v>6</v>
      </c>
      <c r="C56">
        <v>2</v>
      </c>
      <c r="D56">
        <v>0</v>
      </c>
      <c r="E56">
        <v>1</v>
      </c>
      <c r="F56">
        <v>3</v>
      </c>
      <c r="G56">
        <v>1</v>
      </c>
      <c r="H56">
        <v>8</v>
      </c>
      <c r="I56">
        <v>1</v>
      </c>
      <c r="J56" s="63">
        <v>0</v>
      </c>
      <c r="K56">
        <v>1</v>
      </c>
      <c r="L56">
        <v>1</v>
      </c>
      <c r="M56">
        <v>0</v>
      </c>
      <c r="N56">
        <v>0</v>
      </c>
      <c r="O56" s="63">
        <v>0</v>
      </c>
      <c r="P56" s="63">
        <v>0</v>
      </c>
      <c r="R56" s="15">
        <v>24</v>
      </c>
    </row>
    <row r="57" spans="1:18" ht="14.25" customHeight="1">
      <c r="A57" t="s">
        <v>84</v>
      </c>
      <c r="B57">
        <v>10</v>
      </c>
      <c r="C57">
        <v>6</v>
      </c>
      <c r="D57">
        <v>0</v>
      </c>
      <c r="E57">
        <v>0</v>
      </c>
      <c r="F57">
        <v>1</v>
      </c>
      <c r="G57">
        <v>2</v>
      </c>
      <c r="H57">
        <v>1</v>
      </c>
      <c r="I57">
        <v>0</v>
      </c>
      <c r="J57" s="63">
        <v>0</v>
      </c>
      <c r="K57">
        <v>0</v>
      </c>
      <c r="L57">
        <v>0</v>
      </c>
      <c r="M57">
        <v>2</v>
      </c>
      <c r="N57">
        <v>0</v>
      </c>
      <c r="O57" s="63">
        <v>0</v>
      </c>
      <c r="P57" s="63">
        <v>0</v>
      </c>
      <c r="R57" s="15">
        <v>22</v>
      </c>
    </row>
    <row r="58" spans="1:18" ht="14.25" customHeight="1">
      <c r="A58" t="s">
        <v>74</v>
      </c>
      <c r="B58">
        <v>10</v>
      </c>
      <c r="C58">
        <v>2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 s="63">
        <v>0</v>
      </c>
      <c r="K58">
        <v>5</v>
      </c>
      <c r="L58">
        <v>0</v>
      </c>
      <c r="M58">
        <v>2</v>
      </c>
      <c r="N58">
        <v>0</v>
      </c>
      <c r="O58" s="63">
        <v>0</v>
      </c>
      <c r="P58" s="63">
        <v>0</v>
      </c>
      <c r="R58" s="15">
        <v>21</v>
      </c>
    </row>
    <row r="59" spans="1:18" ht="14.25" customHeight="1">
      <c r="A59" t="s">
        <v>75</v>
      </c>
      <c r="B59">
        <v>11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 s="63">
        <v>0</v>
      </c>
      <c r="K59">
        <v>2</v>
      </c>
      <c r="L59">
        <v>0</v>
      </c>
      <c r="M59">
        <v>0</v>
      </c>
      <c r="N59">
        <v>0</v>
      </c>
      <c r="O59" s="63">
        <v>0</v>
      </c>
      <c r="P59" s="63">
        <v>0</v>
      </c>
      <c r="R59" s="15">
        <v>16</v>
      </c>
    </row>
    <row r="60" spans="1:18" ht="14.25" customHeight="1">
      <c r="A60" t="s">
        <v>78</v>
      </c>
      <c r="B60">
        <v>2</v>
      </c>
      <c r="C60">
        <v>2</v>
      </c>
      <c r="D60">
        <v>0</v>
      </c>
      <c r="E60">
        <v>0</v>
      </c>
      <c r="F60">
        <v>1</v>
      </c>
      <c r="G60">
        <v>4</v>
      </c>
      <c r="H60">
        <v>1</v>
      </c>
      <c r="I60">
        <v>2</v>
      </c>
      <c r="J60" s="63">
        <v>0</v>
      </c>
      <c r="K60">
        <v>0</v>
      </c>
      <c r="L60">
        <v>0</v>
      </c>
      <c r="M60">
        <v>0</v>
      </c>
      <c r="N60">
        <v>0</v>
      </c>
      <c r="O60" s="63">
        <v>0</v>
      </c>
      <c r="P60" s="63">
        <v>0</v>
      </c>
      <c r="R60" s="15">
        <v>12</v>
      </c>
    </row>
    <row r="61" spans="1:18" ht="14.25" customHeight="1">
      <c r="A61" t="s">
        <v>86</v>
      </c>
      <c r="B61">
        <v>3</v>
      </c>
      <c r="C61">
        <v>0</v>
      </c>
      <c r="D61">
        <v>0</v>
      </c>
      <c r="E61">
        <v>0</v>
      </c>
      <c r="F61">
        <v>1</v>
      </c>
      <c r="G61">
        <v>1</v>
      </c>
      <c r="H61">
        <v>4</v>
      </c>
      <c r="I61">
        <v>2</v>
      </c>
      <c r="J61" s="63">
        <v>0</v>
      </c>
      <c r="K61">
        <v>0</v>
      </c>
      <c r="L61">
        <v>0</v>
      </c>
      <c r="M61">
        <v>0</v>
      </c>
      <c r="N61">
        <v>0</v>
      </c>
      <c r="O61" s="63">
        <v>0</v>
      </c>
      <c r="P61" s="63">
        <v>0</v>
      </c>
      <c r="R61" s="15">
        <v>11</v>
      </c>
    </row>
    <row r="62" spans="1:18" ht="14.25" customHeight="1">
      <c r="A62" t="s">
        <v>77</v>
      </c>
      <c r="B62">
        <v>2</v>
      </c>
      <c r="C62">
        <v>0</v>
      </c>
      <c r="D62">
        <v>0</v>
      </c>
      <c r="E62">
        <v>0</v>
      </c>
      <c r="F62">
        <v>2</v>
      </c>
      <c r="G62">
        <v>2</v>
      </c>
      <c r="H62">
        <v>1</v>
      </c>
      <c r="I62">
        <v>1</v>
      </c>
      <c r="J62" s="63">
        <v>0</v>
      </c>
      <c r="K62">
        <v>0</v>
      </c>
      <c r="L62">
        <v>0</v>
      </c>
      <c r="M62">
        <v>0</v>
      </c>
      <c r="N62">
        <v>0</v>
      </c>
      <c r="O62" s="63">
        <v>0</v>
      </c>
      <c r="P62" s="63">
        <v>0</v>
      </c>
      <c r="R62" s="15">
        <v>8</v>
      </c>
    </row>
    <row r="63" spans="1:18" ht="14.25" customHeight="1">
      <c r="A63" t="s">
        <v>85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0</v>
      </c>
      <c r="J63" s="63">
        <v>0</v>
      </c>
      <c r="K63">
        <v>0</v>
      </c>
      <c r="L63">
        <v>0</v>
      </c>
      <c r="M63">
        <v>0</v>
      </c>
      <c r="N63">
        <v>0</v>
      </c>
      <c r="O63" s="63">
        <v>0</v>
      </c>
      <c r="P63" s="63">
        <v>0</v>
      </c>
      <c r="R63" s="15">
        <v>3</v>
      </c>
    </row>
    <row r="64" spans="1:18" ht="14.25" customHeight="1">
      <c r="A64" s="19"/>
      <c r="J64" s="63"/>
      <c r="O64" s="63"/>
      <c r="P64" s="63"/>
      <c r="R64" s="15"/>
    </row>
    <row r="65" spans="1:18" ht="14.25" customHeight="1">
      <c r="A65" s="8" t="s">
        <v>90</v>
      </c>
      <c r="B65">
        <v>265</v>
      </c>
      <c r="C65">
        <v>112</v>
      </c>
      <c r="D65">
        <v>19</v>
      </c>
      <c r="E65">
        <v>35</v>
      </c>
      <c r="F65">
        <v>50</v>
      </c>
      <c r="G65">
        <v>40</v>
      </c>
      <c r="H65">
        <v>32</v>
      </c>
      <c r="I65">
        <v>7</v>
      </c>
      <c r="J65" s="63">
        <v>0</v>
      </c>
      <c r="K65">
        <v>14</v>
      </c>
      <c r="L65">
        <v>1</v>
      </c>
      <c r="M65">
        <v>10</v>
      </c>
      <c r="N65">
        <v>1</v>
      </c>
      <c r="O65" s="63">
        <v>0</v>
      </c>
      <c r="P65" s="63">
        <v>0</v>
      </c>
      <c r="R65" s="15"/>
    </row>
    <row r="66" spans="1:18" ht="14.25" customHeight="1">
      <c r="A66" s="8"/>
      <c r="R66" s="15"/>
    </row>
    <row r="67" spans="1:18" ht="14.25" customHeight="1">
      <c r="A67" s="8"/>
      <c r="R67" s="15"/>
    </row>
    <row r="68" spans="1:18" ht="14.25" customHeight="1">
      <c r="A68" s="8"/>
      <c r="R68" s="15"/>
    </row>
    <row r="69" spans="1:18" ht="14.25" customHeight="1">
      <c r="A69" s="8"/>
      <c r="R69" s="15"/>
    </row>
    <row r="70" spans="1:18" ht="14.25" customHeight="1">
      <c r="A70" s="8"/>
      <c r="R70" s="15"/>
    </row>
    <row r="71" spans="1:18" ht="14.25" customHeight="1">
      <c r="A71" s="8"/>
      <c r="R71" s="15"/>
    </row>
    <row r="72" spans="1:18" ht="14.25" customHeight="1">
      <c r="A72" s="8"/>
      <c r="R72" s="15"/>
    </row>
    <row r="73" spans="1:18" ht="14.25" customHeight="1">
      <c r="A73" s="8"/>
      <c r="R73" s="15"/>
    </row>
    <row r="74" spans="1:18" ht="14.25" customHeight="1">
      <c r="R74" s="15"/>
    </row>
    <row r="75" spans="1:18" ht="14.25" customHeight="1">
      <c r="R75" s="15"/>
    </row>
    <row r="76" spans="1:18" ht="14.25" customHeight="1">
      <c r="R76" s="15"/>
    </row>
    <row r="77" spans="1:18" ht="14.25" customHeight="1">
      <c r="R77" s="15"/>
    </row>
    <row r="78" spans="1:18" ht="14.25" customHeight="1">
      <c r="R78" s="15"/>
    </row>
    <row r="79" spans="1:18" ht="14.25" customHeight="1">
      <c r="R79" s="15"/>
    </row>
    <row r="80" spans="1:18" ht="14.25" customHeight="1">
      <c r="R80" s="15"/>
    </row>
    <row r="81" spans="18:18" ht="14.25" customHeight="1">
      <c r="R81" s="15"/>
    </row>
    <row r="82" spans="18:18" ht="14.25" customHeight="1">
      <c r="R82" s="15"/>
    </row>
    <row r="83" spans="18:18" ht="14.25" customHeight="1">
      <c r="R83" s="15"/>
    </row>
    <row r="84" spans="18:18" ht="14.25" customHeight="1">
      <c r="R84" s="15"/>
    </row>
    <row r="85" spans="18:18" ht="14.25" customHeight="1">
      <c r="R85" s="15"/>
    </row>
    <row r="86" spans="18:18" ht="14.25" customHeight="1">
      <c r="R86" s="15"/>
    </row>
    <row r="87" spans="18:18" ht="14.25" customHeight="1">
      <c r="R87" s="15"/>
    </row>
    <row r="88" spans="18:18" ht="14.25" customHeight="1">
      <c r="R88" s="15"/>
    </row>
    <row r="89" spans="18:18" ht="14.25" customHeight="1">
      <c r="R89" s="15"/>
    </row>
    <row r="90" spans="18:18" ht="14.25" customHeight="1">
      <c r="R90" s="15"/>
    </row>
    <row r="91" spans="18:18" ht="14.25" customHeight="1">
      <c r="R91" s="15"/>
    </row>
    <row r="92" spans="18:18" ht="14.25" customHeight="1">
      <c r="R92" s="15"/>
    </row>
    <row r="93" spans="18:18" ht="14.25" customHeight="1">
      <c r="R93" s="15"/>
    </row>
    <row r="94" spans="18:18" ht="14.25" customHeight="1">
      <c r="R94" s="15"/>
    </row>
    <row r="95" spans="18:18" ht="14.25" customHeight="1">
      <c r="R95" s="15"/>
    </row>
    <row r="96" spans="18:18" ht="14.25" customHeight="1">
      <c r="R96" s="15"/>
    </row>
    <row r="97" spans="18:18" ht="14.25" customHeight="1">
      <c r="R97" s="15"/>
    </row>
    <row r="98" spans="18:18" ht="14.25" customHeight="1">
      <c r="R98" s="15"/>
    </row>
    <row r="99" spans="18:18" ht="14.25" customHeight="1">
      <c r="R99" s="15"/>
    </row>
    <row r="100" spans="18:18" ht="14.25" customHeight="1">
      <c r="R100" s="15"/>
    </row>
    <row r="101" spans="18:18" ht="14.25" customHeight="1">
      <c r="R101" s="15"/>
    </row>
    <row r="102" spans="18:18" ht="14.25" customHeight="1">
      <c r="R102" s="15"/>
    </row>
    <row r="103" spans="18:18" ht="14.25" customHeight="1">
      <c r="R103" s="15"/>
    </row>
    <row r="104" spans="18:18" ht="14.25" customHeight="1">
      <c r="R104" s="15"/>
    </row>
    <row r="105" spans="18:18" ht="14.25" customHeight="1">
      <c r="R105" s="15"/>
    </row>
    <row r="106" spans="18:18" ht="14.25" customHeight="1">
      <c r="R106" s="15"/>
    </row>
    <row r="107" spans="18:18" ht="14.25" customHeight="1">
      <c r="R107" s="15"/>
    </row>
    <row r="108" spans="18:18" ht="14.25" customHeight="1">
      <c r="R108" s="15"/>
    </row>
    <row r="109" spans="18:18" ht="14.25" customHeight="1">
      <c r="R109" s="15"/>
    </row>
    <row r="110" spans="18:18" ht="14.25" customHeight="1">
      <c r="R110" s="15"/>
    </row>
    <row r="111" spans="18:18" ht="14.25" customHeight="1">
      <c r="R111" s="15"/>
    </row>
    <row r="112" spans="18:18" ht="14.25" customHeight="1">
      <c r="R112" s="15"/>
    </row>
    <row r="113" spans="18:18" ht="14.25" customHeight="1">
      <c r="R113" s="15"/>
    </row>
    <row r="114" spans="18:18" ht="14.25" customHeight="1">
      <c r="R114" s="15"/>
    </row>
    <row r="115" spans="18:18" ht="14.25" customHeight="1">
      <c r="R115" s="15"/>
    </row>
    <row r="116" spans="18:18" ht="14.25" customHeight="1">
      <c r="R116" s="15"/>
    </row>
    <row r="117" spans="18:18" ht="14.25" customHeight="1">
      <c r="R117" s="15"/>
    </row>
    <row r="118" spans="18:18" ht="14.25" customHeight="1">
      <c r="R118" s="15"/>
    </row>
    <row r="119" spans="18:18" ht="14.25" customHeight="1">
      <c r="R119" s="15"/>
    </row>
    <row r="120" spans="18:18" ht="14.25" customHeight="1">
      <c r="R120" s="15"/>
    </row>
    <row r="121" spans="18:18" ht="14.25" customHeight="1">
      <c r="R121" s="15"/>
    </row>
    <row r="122" spans="18:18" ht="14.25" customHeight="1">
      <c r="R122" s="15"/>
    </row>
    <row r="123" spans="18:18" ht="14.25" customHeight="1">
      <c r="R123" s="15"/>
    </row>
    <row r="124" spans="18:18" ht="14.25" customHeight="1">
      <c r="R124" s="15"/>
    </row>
    <row r="125" spans="18:18" ht="14.25" customHeight="1">
      <c r="R125" s="15"/>
    </row>
    <row r="126" spans="18:18" ht="14.25" customHeight="1">
      <c r="R126" s="15"/>
    </row>
    <row r="127" spans="18:18" ht="14.25" customHeight="1">
      <c r="R127" s="15"/>
    </row>
    <row r="128" spans="18:18" ht="14.25" customHeight="1">
      <c r="R128" s="15"/>
    </row>
    <row r="129" spans="18:18" ht="14.25" customHeight="1">
      <c r="R129" s="15"/>
    </row>
    <row r="130" spans="18:18" ht="14.25" customHeight="1">
      <c r="R130" s="15"/>
    </row>
    <row r="131" spans="18:18" ht="14.25" customHeight="1">
      <c r="R131" s="15"/>
    </row>
    <row r="132" spans="18:18" ht="14.25" customHeight="1">
      <c r="R132" s="15"/>
    </row>
    <row r="133" spans="18:18" ht="14.25" customHeight="1">
      <c r="R133" s="15"/>
    </row>
    <row r="134" spans="18:18" ht="14.25" customHeight="1">
      <c r="R134" s="15"/>
    </row>
    <row r="135" spans="18:18" ht="14.25" customHeight="1">
      <c r="R135" s="15"/>
    </row>
    <row r="136" spans="18:18" ht="14.25" customHeight="1">
      <c r="R136" s="15"/>
    </row>
    <row r="137" spans="18:18" ht="14.25" customHeight="1">
      <c r="R137" s="15"/>
    </row>
    <row r="138" spans="18:18" ht="14.25" customHeight="1">
      <c r="R138" s="15"/>
    </row>
    <row r="139" spans="18:18" ht="14.25" customHeight="1">
      <c r="R139" s="15"/>
    </row>
    <row r="140" spans="18:18" ht="14.25" customHeight="1">
      <c r="R140" s="15"/>
    </row>
    <row r="141" spans="18:18" ht="14.25" customHeight="1">
      <c r="R141" s="15"/>
    </row>
    <row r="142" spans="18:18" ht="14.25" customHeight="1">
      <c r="R142" s="15"/>
    </row>
    <row r="143" spans="18:18" ht="14.25" customHeight="1">
      <c r="R143" s="15"/>
    </row>
    <row r="144" spans="18:18" ht="14.25" customHeight="1">
      <c r="R144" s="15"/>
    </row>
    <row r="145" spans="18:18" ht="14.25" customHeight="1">
      <c r="R145" s="15"/>
    </row>
    <row r="146" spans="18:18" ht="14.25" customHeight="1">
      <c r="R146" s="15"/>
    </row>
    <row r="147" spans="18:18" ht="14.25" customHeight="1">
      <c r="R147" s="15"/>
    </row>
    <row r="148" spans="18:18" ht="14.25" customHeight="1">
      <c r="R148" s="15"/>
    </row>
    <row r="149" spans="18:18" ht="14.25" customHeight="1">
      <c r="R149" s="15"/>
    </row>
    <row r="150" spans="18:18" ht="14.25" customHeight="1">
      <c r="R150" s="15"/>
    </row>
    <row r="151" spans="18:18" ht="14.25" customHeight="1">
      <c r="R151" s="15"/>
    </row>
    <row r="152" spans="18:18" ht="14.25" customHeight="1">
      <c r="R152" s="15"/>
    </row>
    <row r="153" spans="18:18" ht="14.25" customHeight="1">
      <c r="R153" s="15"/>
    </row>
    <row r="154" spans="18:18" ht="14.25" customHeight="1">
      <c r="R154" s="15"/>
    </row>
    <row r="155" spans="18:18" ht="14.25" customHeight="1">
      <c r="R155" s="15"/>
    </row>
    <row r="156" spans="18:18" ht="14.25" customHeight="1">
      <c r="R156" s="15"/>
    </row>
    <row r="157" spans="18:18" ht="14.25" customHeight="1">
      <c r="R157" s="15"/>
    </row>
    <row r="158" spans="18:18" ht="14.25" customHeight="1">
      <c r="R158" s="15"/>
    </row>
    <row r="159" spans="18:18" ht="14.25" customHeight="1">
      <c r="R159" s="15"/>
    </row>
    <row r="160" spans="18:18" ht="14.25" customHeight="1">
      <c r="R160" s="15"/>
    </row>
    <row r="161" spans="18:18" ht="14.25" customHeight="1">
      <c r="R161" s="15"/>
    </row>
    <row r="162" spans="18:18" ht="14.25" customHeight="1">
      <c r="R162" s="15"/>
    </row>
    <row r="163" spans="18:18" ht="14.25" customHeight="1">
      <c r="R163" s="15"/>
    </row>
    <row r="164" spans="18:18" ht="14.25" customHeight="1">
      <c r="R164" s="15"/>
    </row>
    <row r="165" spans="18:18" ht="14.25" customHeight="1">
      <c r="R165" s="15"/>
    </row>
    <row r="166" spans="18:18" ht="14.25" customHeight="1">
      <c r="R166" s="15"/>
    </row>
    <row r="167" spans="18:18" ht="14.25" customHeight="1">
      <c r="R167" s="15"/>
    </row>
    <row r="168" spans="18:18" ht="14.25" customHeight="1">
      <c r="R168" s="15"/>
    </row>
    <row r="169" spans="18:18" ht="14.25" customHeight="1">
      <c r="R169" s="15"/>
    </row>
    <row r="170" spans="18:18" ht="14.25" customHeight="1">
      <c r="R170" s="15"/>
    </row>
    <row r="171" spans="18:18" ht="14.25" customHeight="1">
      <c r="R171" s="15"/>
    </row>
    <row r="172" spans="18:18" ht="14.25" customHeight="1">
      <c r="R172" s="15"/>
    </row>
    <row r="173" spans="18:18" ht="14.25" customHeight="1">
      <c r="R173" s="15"/>
    </row>
    <row r="174" spans="18:18" ht="14.25" customHeight="1">
      <c r="R174" s="15"/>
    </row>
    <row r="175" spans="18:18" ht="14.25" customHeight="1">
      <c r="R175" s="15"/>
    </row>
    <row r="176" spans="18:18" ht="14.25" customHeight="1">
      <c r="R176" s="15"/>
    </row>
    <row r="177" spans="18:18" ht="14.25" customHeight="1">
      <c r="R177" s="15"/>
    </row>
    <row r="178" spans="18:18" ht="14.25" customHeight="1">
      <c r="R178" s="15"/>
    </row>
    <row r="179" spans="18:18" ht="14.25" customHeight="1">
      <c r="R179" s="15"/>
    </row>
    <row r="180" spans="18:18" ht="14.25" customHeight="1">
      <c r="R180" s="15"/>
    </row>
    <row r="181" spans="18:18" ht="14.25" customHeight="1">
      <c r="R181" s="15"/>
    </row>
    <row r="182" spans="18:18" ht="14.25" customHeight="1">
      <c r="R182" s="15"/>
    </row>
    <row r="183" spans="18:18" ht="14.25" customHeight="1">
      <c r="R183" s="15"/>
    </row>
    <row r="184" spans="18:18" ht="14.25" customHeight="1">
      <c r="R184" s="15"/>
    </row>
    <row r="185" spans="18:18" ht="14.25" customHeight="1">
      <c r="R185" s="15"/>
    </row>
    <row r="186" spans="18:18" ht="14.25" customHeight="1">
      <c r="R186" s="15"/>
    </row>
    <row r="187" spans="18:18" ht="14.25" customHeight="1">
      <c r="R187" s="15"/>
    </row>
    <row r="188" spans="18:18" ht="14.25" customHeight="1">
      <c r="R188" s="15"/>
    </row>
    <row r="189" spans="18:18" ht="14.25" customHeight="1">
      <c r="R189" s="15"/>
    </row>
    <row r="190" spans="18:18" ht="14.25" customHeight="1">
      <c r="R190" s="15"/>
    </row>
    <row r="191" spans="18:18" ht="14.25" customHeight="1">
      <c r="R191" s="15"/>
    </row>
    <row r="192" spans="18:18" ht="14.25" customHeight="1">
      <c r="R192" s="15"/>
    </row>
    <row r="193" spans="18:18" ht="14.25" customHeight="1">
      <c r="R193" s="15"/>
    </row>
    <row r="194" spans="18:18" ht="14.25" customHeight="1">
      <c r="R194" s="15"/>
    </row>
    <row r="195" spans="18:18" ht="14.25" customHeight="1">
      <c r="R195" s="15"/>
    </row>
    <row r="196" spans="18:18" ht="14.25" customHeight="1">
      <c r="R196" s="15"/>
    </row>
    <row r="197" spans="18:18" ht="14.25" customHeight="1">
      <c r="R197" s="15"/>
    </row>
    <row r="198" spans="18:18" ht="14.25" customHeight="1">
      <c r="R198" s="15"/>
    </row>
    <row r="199" spans="18:18" ht="14.25" customHeight="1">
      <c r="R199" s="15"/>
    </row>
    <row r="200" spans="18:18" ht="14.25" customHeight="1">
      <c r="R200" s="15"/>
    </row>
    <row r="201" spans="18:18" ht="14.25" customHeight="1">
      <c r="R201" s="15"/>
    </row>
    <row r="202" spans="18:18" ht="14.25" customHeight="1">
      <c r="R202" s="15"/>
    </row>
    <row r="203" spans="18:18" ht="14.25" customHeight="1">
      <c r="R203" s="15"/>
    </row>
    <row r="204" spans="18:18" ht="14.25" customHeight="1">
      <c r="R204" s="15"/>
    </row>
    <row r="205" spans="18:18" ht="14.25" customHeight="1">
      <c r="R205" s="15"/>
    </row>
    <row r="206" spans="18:18" ht="14.25" customHeight="1">
      <c r="R206" s="15"/>
    </row>
    <row r="207" spans="18:18" ht="14.25" customHeight="1">
      <c r="R207" s="15"/>
    </row>
    <row r="208" spans="18:18" ht="14.25" customHeight="1">
      <c r="R208" s="15"/>
    </row>
    <row r="209" spans="18:18" ht="14.25" customHeight="1">
      <c r="R209" s="15"/>
    </row>
    <row r="210" spans="18:18" ht="14.25" customHeight="1">
      <c r="R210" s="15"/>
    </row>
    <row r="211" spans="18:18" ht="14.25" customHeight="1">
      <c r="R211" s="15"/>
    </row>
    <row r="212" spans="18:18" ht="14.25" customHeight="1">
      <c r="R212" s="15"/>
    </row>
    <row r="213" spans="18:18" ht="14.25" customHeight="1">
      <c r="R213" s="15"/>
    </row>
    <row r="214" spans="18:18" ht="14.25" customHeight="1">
      <c r="R214" s="15"/>
    </row>
    <row r="215" spans="18:18" ht="14.25" customHeight="1">
      <c r="R215" s="15"/>
    </row>
    <row r="216" spans="18:18" ht="14.25" customHeight="1">
      <c r="R216" s="15"/>
    </row>
    <row r="217" spans="18:18" ht="14.25" customHeight="1">
      <c r="R217" s="15"/>
    </row>
    <row r="218" spans="18:18" ht="14.25" customHeight="1">
      <c r="R218" s="15"/>
    </row>
    <row r="219" spans="18:18" ht="14.25" customHeight="1">
      <c r="R219" s="15"/>
    </row>
    <row r="220" spans="18:18" ht="14.25" customHeight="1">
      <c r="R220" s="15"/>
    </row>
    <row r="221" spans="18:18" ht="14.25" customHeight="1">
      <c r="R221" s="15"/>
    </row>
    <row r="222" spans="18:18" ht="14.25" customHeight="1">
      <c r="R222" s="15"/>
    </row>
    <row r="223" spans="18:18" ht="14.25" customHeight="1">
      <c r="R223" s="15"/>
    </row>
    <row r="224" spans="18:18" ht="14.25" customHeight="1">
      <c r="R224" s="15"/>
    </row>
    <row r="225" spans="18:18" ht="14.25" customHeight="1">
      <c r="R225" s="15"/>
    </row>
    <row r="226" spans="18:18" ht="14.25" customHeight="1">
      <c r="R226" s="15"/>
    </row>
    <row r="227" spans="18:18" ht="14.25" customHeight="1">
      <c r="R227" s="15"/>
    </row>
    <row r="228" spans="18:18" ht="14.25" customHeight="1">
      <c r="R228" s="15"/>
    </row>
    <row r="229" spans="18:18" ht="14.25" customHeight="1">
      <c r="R229" s="15"/>
    </row>
    <row r="230" spans="18:18" ht="14.25" customHeight="1">
      <c r="R230" s="15"/>
    </row>
    <row r="231" spans="18:18" ht="14.25" customHeight="1">
      <c r="R231" s="15"/>
    </row>
    <row r="232" spans="18:18" ht="14.25" customHeight="1">
      <c r="R232" s="15"/>
    </row>
    <row r="233" spans="18:18" ht="14.25" customHeight="1">
      <c r="R233" s="15"/>
    </row>
    <row r="234" spans="18:18" ht="14.25" customHeight="1">
      <c r="R234" s="15"/>
    </row>
    <row r="235" spans="18:18" ht="14.25" customHeight="1">
      <c r="R235" s="15"/>
    </row>
    <row r="236" spans="18:18" ht="14.25" customHeight="1">
      <c r="R236" s="15"/>
    </row>
    <row r="237" spans="18:18" ht="14.25" customHeight="1">
      <c r="R237" s="15"/>
    </row>
    <row r="238" spans="18:18" ht="14.25" customHeight="1">
      <c r="R238" s="15"/>
    </row>
    <row r="239" spans="18:18" ht="14.25" customHeight="1">
      <c r="R239" s="15"/>
    </row>
    <row r="240" spans="18:18" ht="14.25" customHeight="1">
      <c r="R240" s="15"/>
    </row>
    <row r="241" spans="18:18" ht="14.25" customHeight="1">
      <c r="R241" s="15"/>
    </row>
    <row r="242" spans="18:18" ht="14.25" customHeight="1">
      <c r="R242" s="15"/>
    </row>
    <row r="243" spans="18:18" ht="14.25" customHeight="1">
      <c r="R243" s="15"/>
    </row>
    <row r="244" spans="18:18" ht="14.25" customHeight="1">
      <c r="R244" s="15"/>
    </row>
    <row r="245" spans="18:18" ht="14.25" customHeight="1">
      <c r="R245" s="15"/>
    </row>
    <row r="246" spans="18:18" ht="14.25" customHeight="1">
      <c r="R246" s="15"/>
    </row>
    <row r="247" spans="18:18" ht="14.25" customHeight="1">
      <c r="R247" s="15"/>
    </row>
    <row r="248" spans="18:18" ht="14.25" customHeight="1">
      <c r="R248" s="15"/>
    </row>
    <row r="249" spans="18:18" ht="14.25" customHeight="1">
      <c r="R249" s="15"/>
    </row>
    <row r="250" spans="18:18" ht="14.25" customHeight="1">
      <c r="R250" s="15"/>
    </row>
    <row r="251" spans="18:18" ht="14.25" customHeight="1">
      <c r="R251" s="15"/>
    </row>
    <row r="252" spans="18:18" ht="14.25" customHeight="1">
      <c r="R252" s="15"/>
    </row>
    <row r="253" spans="18:18" ht="14.25" customHeight="1">
      <c r="R253" s="15"/>
    </row>
    <row r="254" spans="18:18" ht="14.25" customHeight="1">
      <c r="R254" s="15"/>
    </row>
    <row r="255" spans="18:18" ht="14.25" customHeight="1">
      <c r="R255" s="15"/>
    </row>
    <row r="256" spans="18:18" ht="14.25" customHeight="1">
      <c r="R256" s="15"/>
    </row>
    <row r="257" spans="18:18" ht="14.25" customHeight="1">
      <c r="R257" s="15"/>
    </row>
    <row r="258" spans="18:18" ht="14.25" customHeight="1">
      <c r="R258" s="15"/>
    </row>
    <row r="259" spans="18:18" ht="14.25" customHeight="1">
      <c r="R259" s="15"/>
    </row>
    <row r="260" spans="18:18" ht="14.25" customHeight="1">
      <c r="R260" s="15"/>
    </row>
    <row r="261" spans="18:18" ht="14.25" customHeight="1">
      <c r="R261" s="15"/>
    </row>
    <row r="262" spans="18:18" ht="14.25" customHeight="1">
      <c r="R262" s="15"/>
    </row>
    <row r="263" spans="18:18" ht="14.25" customHeight="1">
      <c r="R263" s="15"/>
    </row>
    <row r="264" spans="18:18" ht="14.25" customHeight="1">
      <c r="R264" s="15"/>
    </row>
    <row r="265" spans="18:18" ht="14.25" customHeight="1">
      <c r="R265" s="15"/>
    </row>
    <row r="266" spans="18:18" ht="14.25" customHeight="1">
      <c r="R266" s="15"/>
    </row>
    <row r="267" spans="18:18" ht="14.25" customHeight="1">
      <c r="R267" s="15"/>
    </row>
    <row r="268" spans="18:18" ht="14.25" customHeight="1">
      <c r="R268" s="15"/>
    </row>
    <row r="269" spans="18:18" ht="14.25" customHeight="1">
      <c r="R269" s="15"/>
    </row>
    <row r="270" spans="18:18" ht="14.25" customHeight="1">
      <c r="R270" s="15"/>
    </row>
    <row r="271" spans="18:18" ht="14.25" customHeight="1">
      <c r="R271" s="15"/>
    </row>
    <row r="272" spans="18:18" ht="14.25" customHeight="1">
      <c r="R272" s="15"/>
    </row>
    <row r="273" spans="18:18" ht="14.25" customHeight="1">
      <c r="R273" s="15"/>
    </row>
    <row r="274" spans="18:18" ht="14.25" customHeight="1">
      <c r="R274" s="15"/>
    </row>
    <row r="275" spans="18:18" ht="14.25" customHeight="1">
      <c r="R275" s="15"/>
    </row>
    <row r="276" spans="18:18" ht="14.25" customHeight="1">
      <c r="R276" s="15"/>
    </row>
    <row r="277" spans="18:18" ht="14.25" customHeight="1">
      <c r="R277" s="15"/>
    </row>
    <row r="278" spans="18:18" ht="14.25" customHeight="1">
      <c r="R278" s="15"/>
    </row>
    <row r="279" spans="18:18" ht="14.25" customHeight="1">
      <c r="R279" s="15"/>
    </row>
    <row r="280" spans="18:18" ht="14.25" customHeight="1">
      <c r="R280" s="15"/>
    </row>
    <row r="281" spans="18:18" ht="14.25" customHeight="1">
      <c r="R281" s="15"/>
    </row>
    <row r="282" spans="18:18" ht="14.25" customHeight="1">
      <c r="R282" s="15"/>
    </row>
    <row r="283" spans="18:18" ht="14.25" customHeight="1">
      <c r="R283" s="15"/>
    </row>
    <row r="284" spans="18:18" ht="14.25" customHeight="1">
      <c r="R284" s="15"/>
    </row>
    <row r="285" spans="18:18" ht="14.25" customHeight="1">
      <c r="R285" s="15"/>
    </row>
    <row r="286" spans="18:18" ht="14.25" customHeight="1">
      <c r="R286" s="15"/>
    </row>
    <row r="287" spans="18:18" ht="14.25" customHeight="1">
      <c r="R287" s="15"/>
    </row>
    <row r="288" spans="18:18" ht="14.25" customHeight="1">
      <c r="R288" s="15"/>
    </row>
    <row r="289" spans="18:18" ht="14.25" customHeight="1">
      <c r="R289" s="15"/>
    </row>
    <row r="290" spans="18:18" ht="14.25" customHeight="1">
      <c r="R290" s="15"/>
    </row>
    <row r="291" spans="18:18" ht="14.25" customHeight="1">
      <c r="R291" s="15"/>
    </row>
    <row r="292" spans="18:18" ht="14.25" customHeight="1">
      <c r="R292" s="15"/>
    </row>
    <row r="293" spans="18:18" ht="14.25" customHeight="1">
      <c r="R293" s="15"/>
    </row>
    <row r="294" spans="18:18" ht="14.25" customHeight="1">
      <c r="R294" s="15"/>
    </row>
    <row r="295" spans="18:18" ht="14.25" customHeight="1">
      <c r="R295" s="15"/>
    </row>
    <row r="296" spans="18:18" ht="14.25" customHeight="1">
      <c r="R296" s="15"/>
    </row>
    <row r="297" spans="18:18" ht="14.25" customHeight="1">
      <c r="R297" s="15"/>
    </row>
    <row r="298" spans="18:18" ht="14.25" customHeight="1">
      <c r="R298" s="15"/>
    </row>
    <row r="299" spans="18:18" ht="14.25" customHeight="1">
      <c r="R299" s="15"/>
    </row>
    <row r="300" spans="18:18" ht="14.25" customHeight="1">
      <c r="R300" s="15"/>
    </row>
    <row r="301" spans="18:18" ht="14.25" customHeight="1">
      <c r="R301" s="15"/>
    </row>
    <row r="302" spans="18:18" ht="14.25" customHeight="1">
      <c r="R302" s="15"/>
    </row>
    <row r="303" spans="18:18" ht="14.25" customHeight="1">
      <c r="R303" s="15"/>
    </row>
    <row r="304" spans="18:18" ht="14.25" customHeight="1">
      <c r="R304" s="15"/>
    </row>
    <row r="305" spans="18:18" ht="14.25" customHeight="1">
      <c r="R305" s="15"/>
    </row>
    <row r="306" spans="18:18" ht="14.25" customHeight="1">
      <c r="R306" s="15"/>
    </row>
    <row r="307" spans="18:18" ht="14.25" customHeight="1">
      <c r="R307" s="15"/>
    </row>
    <row r="308" spans="18:18" ht="14.25" customHeight="1">
      <c r="R308" s="15"/>
    </row>
    <row r="309" spans="18:18" ht="14.25" customHeight="1">
      <c r="R309" s="15"/>
    </row>
    <row r="310" spans="18:18" ht="14.25" customHeight="1">
      <c r="R310" s="15"/>
    </row>
    <row r="311" spans="18:18" ht="14.25" customHeight="1">
      <c r="R311" s="15"/>
    </row>
    <row r="312" spans="18:18" ht="14.25" customHeight="1">
      <c r="R312" s="15"/>
    </row>
    <row r="313" spans="18:18" ht="14.25" customHeight="1">
      <c r="R313" s="15"/>
    </row>
    <row r="314" spans="18:18" ht="14.25" customHeight="1">
      <c r="R314" s="15"/>
    </row>
    <row r="315" spans="18:18" ht="14.25" customHeight="1">
      <c r="R315" s="15"/>
    </row>
    <row r="316" spans="18:18" ht="14.25" customHeight="1">
      <c r="R316" s="15"/>
    </row>
    <row r="317" spans="18:18" ht="14.25" customHeight="1">
      <c r="R317" s="15"/>
    </row>
    <row r="318" spans="18:18" ht="14.25" customHeight="1">
      <c r="R318" s="15"/>
    </row>
    <row r="319" spans="18:18" ht="14.25" customHeight="1">
      <c r="R319" s="15"/>
    </row>
    <row r="320" spans="18:18" ht="14.25" customHeight="1">
      <c r="R320" s="15"/>
    </row>
    <row r="321" spans="18:18" ht="14.25" customHeight="1">
      <c r="R321" s="15"/>
    </row>
    <row r="322" spans="18:18" ht="14.25" customHeight="1">
      <c r="R322" s="15"/>
    </row>
    <row r="323" spans="18:18" ht="14.25" customHeight="1">
      <c r="R323" s="15"/>
    </row>
    <row r="324" spans="18:18" ht="14.25" customHeight="1">
      <c r="R324" s="15"/>
    </row>
    <row r="325" spans="18:18" ht="14.25" customHeight="1">
      <c r="R325" s="15"/>
    </row>
    <row r="326" spans="18:18" ht="14.25" customHeight="1">
      <c r="R326" s="15"/>
    </row>
    <row r="327" spans="18:18" ht="14.25" customHeight="1">
      <c r="R327" s="15"/>
    </row>
    <row r="328" spans="18:18" ht="14.25" customHeight="1">
      <c r="R328" s="15"/>
    </row>
    <row r="329" spans="18:18" ht="14.25" customHeight="1">
      <c r="R329" s="15"/>
    </row>
    <row r="330" spans="18:18" ht="14.25" customHeight="1">
      <c r="R330" s="15"/>
    </row>
    <row r="331" spans="18:18" ht="14.25" customHeight="1">
      <c r="R331" s="15"/>
    </row>
    <row r="332" spans="18:18" ht="14.25" customHeight="1">
      <c r="R332" s="15"/>
    </row>
    <row r="333" spans="18:18" ht="14.25" customHeight="1">
      <c r="R333" s="15"/>
    </row>
    <row r="334" spans="18:18" ht="14.25" customHeight="1">
      <c r="R334" s="15"/>
    </row>
    <row r="335" spans="18:18" ht="14.25" customHeight="1">
      <c r="R335" s="15"/>
    </row>
    <row r="336" spans="18:18" ht="14.25" customHeight="1">
      <c r="R336" s="15"/>
    </row>
    <row r="337" spans="18:18" ht="14.25" customHeight="1">
      <c r="R337" s="15"/>
    </row>
    <row r="338" spans="18:18" ht="14.25" customHeight="1">
      <c r="R338" s="15"/>
    </row>
    <row r="339" spans="18:18" ht="14.25" customHeight="1">
      <c r="R339" s="15"/>
    </row>
    <row r="340" spans="18:18" ht="14.25" customHeight="1">
      <c r="R340" s="15"/>
    </row>
    <row r="341" spans="18:18" ht="14.25" customHeight="1">
      <c r="R341" s="15"/>
    </row>
    <row r="342" spans="18:18" ht="14.25" customHeight="1">
      <c r="R342" s="15"/>
    </row>
    <row r="343" spans="18:18" ht="14.25" customHeight="1">
      <c r="R343" s="15"/>
    </row>
    <row r="344" spans="18:18" ht="14.25" customHeight="1">
      <c r="R344" s="15"/>
    </row>
    <row r="345" spans="18:18" ht="14.25" customHeight="1">
      <c r="R345" s="15"/>
    </row>
    <row r="346" spans="18:18" ht="14.25" customHeight="1">
      <c r="R346" s="15"/>
    </row>
    <row r="347" spans="18:18" ht="14.25" customHeight="1">
      <c r="R347" s="15"/>
    </row>
    <row r="348" spans="18:18" ht="14.25" customHeight="1">
      <c r="R348" s="15"/>
    </row>
    <row r="349" spans="18:18" ht="14.25" customHeight="1">
      <c r="R349" s="15"/>
    </row>
    <row r="350" spans="18:18" ht="14.25" customHeight="1">
      <c r="R350" s="15"/>
    </row>
    <row r="351" spans="18:18" ht="14.25" customHeight="1">
      <c r="R351" s="15"/>
    </row>
    <row r="352" spans="18:18" ht="14.25" customHeight="1">
      <c r="R352" s="15"/>
    </row>
    <row r="353" spans="18:18" ht="14.25" customHeight="1">
      <c r="R353" s="15"/>
    </row>
    <row r="354" spans="18:18" ht="14.25" customHeight="1">
      <c r="R354" s="15"/>
    </row>
    <row r="355" spans="18:18" ht="14.25" customHeight="1">
      <c r="R355" s="15"/>
    </row>
    <row r="356" spans="18:18" ht="14.25" customHeight="1">
      <c r="R356" s="15"/>
    </row>
    <row r="357" spans="18:18" ht="14.25" customHeight="1">
      <c r="R357" s="15"/>
    </row>
    <row r="358" spans="18:18" ht="14.25" customHeight="1">
      <c r="R358" s="15"/>
    </row>
    <row r="359" spans="18:18" ht="14.25" customHeight="1">
      <c r="R359" s="15"/>
    </row>
    <row r="360" spans="18:18" ht="14.25" customHeight="1">
      <c r="R360" s="15"/>
    </row>
    <row r="361" spans="18:18" ht="14.25" customHeight="1">
      <c r="R361" s="15"/>
    </row>
    <row r="362" spans="18:18" ht="14.25" customHeight="1">
      <c r="R362" s="15"/>
    </row>
    <row r="363" spans="18:18" ht="14.25" customHeight="1">
      <c r="R363" s="15"/>
    </row>
    <row r="364" spans="18:18" ht="14.25" customHeight="1">
      <c r="R364" s="15"/>
    </row>
    <row r="365" spans="18:18" ht="14.25" customHeight="1">
      <c r="R365" s="15"/>
    </row>
    <row r="366" spans="18:18" ht="14.25" customHeight="1">
      <c r="R366" s="15"/>
    </row>
    <row r="367" spans="18:18" ht="14.25" customHeight="1">
      <c r="R367" s="15"/>
    </row>
    <row r="368" spans="18:18" ht="14.25" customHeight="1">
      <c r="R368" s="15"/>
    </row>
    <row r="369" spans="18:18" ht="14.25" customHeight="1">
      <c r="R369" s="15"/>
    </row>
    <row r="370" spans="18:18" ht="14.25" customHeight="1">
      <c r="R370" s="15"/>
    </row>
    <row r="371" spans="18:18" ht="14.25" customHeight="1">
      <c r="R371" s="15"/>
    </row>
    <row r="372" spans="18:18" ht="14.25" customHeight="1">
      <c r="R372" s="15"/>
    </row>
    <row r="373" spans="18:18" ht="14.25" customHeight="1">
      <c r="R373" s="15"/>
    </row>
    <row r="374" spans="18:18" ht="14.25" customHeight="1">
      <c r="R374" s="15"/>
    </row>
    <row r="375" spans="18:18" ht="14.25" customHeight="1">
      <c r="R375" s="15"/>
    </row>
    <row r="376" spans="18:18" ht="14.25" customHeight="1">
      <c r="R376" s="15"/>
    </row>
    <row r="377" spans="18:18" ht="14.25" customHeight="1">
      <c r="R377" s="15"/>
    </row>
    <row r="378" spans="18:18" ht="14.25" customHeight="1">
      <c r="R378" s="15"/>
    </row>
    <row r="379" spans="18:18" ht="14.25" customHeight="1">
      <c r="R379" s="15"/>
    </row>
    <row r="380" spans="18:18" ht="14.25" customHeight="1">
      <c r="R380" s="15"/>
    </row>
    <row r="381" spans="18:18" ht="14.25" customHeight="1">
      <c r="R381" s="15"/>
    </row>
    <row r="382" spans="18:18" ht="14.25" customHeight="1">
      <c r="R382" s="15"/>
    </row>
    <row r="383" spans="18:18" ht="14.25" customHeight="1">
      <c r="R383" s="15"/>
    </row>
    <row r="384" spans="18:18" ht="14.25" customHeight="1">
      <c r="R384" s="15"/>
    </row>
    <row r="385" spans="18:18" ht="14.25" customHeight="1">
      <c r="R385" s="15"/>
    </row>
    <row r="386" spans="18:18" ht="14.25" customHeight="1">
      <c r="R386" s="15"/>
    </row>
    <row r="387" spans="18:18" ht="14.25" customHeight="1">
      <c r="R387" s="15"/>
    </row>
    <row r="388" spans="18:18" ht="14.25" customHeight="1">
      <c r="R388" s="15"/>
    </row>
    <row r="389" spans="18:18" ht="14.25" customHeight="1">
      <c r="R389" s="15"/>
    </row>
    <row r="390" spans="18:18" ht="14.25" customHeight="1">
      <c r="R390" s="15"/>
    </row>
    <row r="391" spans="18:18" ht="14.25" customHeight="1">
      <c r="R391" s="15"/>
    </row>
    <row r="392" spans="18:18" ht="14.25" customHeight="1">
      <c r="R392" s="15"/>
    </row>
    <row r="393" spans="18:18" ht="14.25" customHeight="1">
      <c r="R393" s="15"/>
    </row>
    <row r="394" spans="18:18" ht="14.25" customHeight="1">
      <c r="R394" s="15"/>
    </row>
    <row r="395" spans="18:18" ht="14.25" customHeight="1">
      <c r="R395" s="15"/>
    </row>
    <row r="396" spans="18:18" ht="14.25" customHeight="1">
      <c r="R396" s="15"/>
    </row>
    <row r="397" spans="18:18" ht="14.25" customHeight="1">
      <c r="R397" s="15"/>
    </row>
    <row r="398" spans="18:18" ht="14.25" customHeight="1">
      <c r="R398" s="15"/>
    </row>
    <row r="399" spans="18:18" ht="14.25" customHeight="1">
      <c r="R399" s="15"/>
    </row>
    <row r="400" spans="18:18" ht="14.25" customHeight="1">
      <c r="R400" s="15"/>
    </row>
    <row r="401" spans="18:18" ht="14.25" customHeight="1">
      <c r="R401" s="15"/>
    </row>
    <row r="402" spans="18:18" ht="14.25" customHeight="1">
      <c r="R402" s="15"/>
    </row>
    <row r="403" spans="18:18" ht="14.25" customHeight="1">
      <c r="R403" s="15"/>
    </row>
    <row r="404" spans="18:18" ht="14.25" customHeight="1">
      <c r="R404" s="15"/>
    </row>
    <row r="405" spans="18:18" ht="14.25" customHeight="1">
      <c r="R405" s="15"/>
    </row>
    <row r="406" spans="18:18" ht="14.25" customHeight="1">
      <c r="R406" s="15"/>
    </row>
    <row r="407" spans="18:18" ht="14.25" customHeight="1">
      <c r="R407" s="15"/>
    </row>
    <row r="408" spans="18:18" ht="14.25" customHeight="1">
      <c r="R408" s="15"/>
    </row>
    <row r="409" spans="18:18" ht="14.25" customHeight="1">
      <c r="R409" s="15"/>
    </row>
    <row r="410" spans="18:18" ht="14.25" customHeight="1">
      <c r="R410" s="15"/>
    </row>
    <row r="411" spans="18:18" ht="14.25" customHeight="1">
      <c r="R411" s="15"/>
    </row>
    <row r="412" spans="18:18" ht="14.25" customHeight="1">
      <c r="R412" s="15"/>
    </row>
    <row r="413" spans="18:18" ht="14.25" customHeight="1">
      <c r="R413" s="15"/>
    </row>
    <row r="414" spans="18:18" ht="14.25" customHeight="1">
      <c r="R414" s="15"/>
    </row>
    <row r="415" spans="18:18" ht="14.25" customHeight="1">
      <c r="R415" s="15"/>
    </row>
    <row r="416" spans="18:18" ht="14.25" customHeight="1">
      <c r="R416" s="15"/>
    </row>
    <row r="417" spans="18:18" ht="14.25" customHeight="1">
      <c r="R417" s="15"/>
    </row>
    <row r="418" spans="18:18" ht="14.25" customHeight="1">
      <c r="R418" s="15"/>
    </row>
    <row r="419" spans="18:18" ht="14.25" customHeight="1">
      <c r="R419" s="15"/>
    </row>
    <row r="420" spans="18:18" ht="14.25" customHeight="1">
      <c r="R420" s="15"/>
    </row>
    <row r="421" spans="18:18" ht="14.25" customHeight="1">
      <c r="R421" s="15"/>
    </row>
    <row r="422" spans="18:18" ht="14.25" customHeight="1">
      <c r="R422" s="15"/>
    </row>
    <row r="423" spans="18:18" ht="14.25" customHeight="1">
      <c r="R423" s="15"/>
    </row>
    <row r="424" spans="18:18" ht="14.25" customHeight="1">
      <c r="R424" s="15"/>
    </row>
    <row r="425" spans="18:18" ht="14.25" customHeight="1">
      <c r="R425" s="15"/>
    </row>
    <row r="426" spans="18:18" ht="14.25" customHeight="1">
      <c r="R426" s="15"/>
    </row>
    <row r="427" spans="18:18" ht="14.25" customHeight="1">
      <c r="R427" s="15"/>
    </row>
    <row r="428" spans="18:18" ht="14.25" customHeight="1">
      <c r="R428" s="15"/>
    </row>
    <row r="429" spans="18:18" ht="14.25" customHeight="1">
      <c r="R429" s="15"/>
    </row>
    <row r="430" spans="18:18" ht="14.25" customHeight="1">
      <c r="R430" s="15"/>
    </row>
    <row r="431" spans="18:18" ht="14.25" customHeight="1">
      <c r="R431" s="15"/>
    </row>
    <row r="432" spans="18:18" ht="14.25" customHeight="1">
      <c r="R432" s="15"/>
    </row>
    <row r="433" spans="18:18" ht="14.25" customHeight="1">
      <c r="R433" s="15"/>
    </row>
    <row r="434" spans="18:18" ht="14.25" customHeight="1">
      <c r="R434" s="15"/>
    </row>
    <row r="435" spans="18:18" ht="14.25" customHeight="1">
      <c r="R435" s="15"/>
    </row>
    <row r="436" spans="18:18" ht="14.25" customHeight="1">
      <c r="R436" s="15"/>
    </row>
    <row r="437" spans="18:18" ht="14.25" customHeight="1">
      <c r="R437" s="15"/>
    </row>
    <row r="438" spans="18:18" ht="14.25" customHeight="1">
      <c r="R438" s="15"/>
    </row>
    <row r="439" spans="18:18" ht="14.25" customHeight="1">
      <c r="R439" s="15"/>
    </row>
    <row r="440" spans="18:18" ht="14.25" customHeight="1">
      <c r="R440" s="15"/>
    </row>
    <row r="441" spans="18:18" ht="14.25" customHeight="1">
      <c r="R441" s="15"/>
    </row>
    <row r="442" spans="18:18" ht="14.25" customHeight="1">
      <c r="R442" s="15"/>
    </row>
    <row r="443" spans="18:18" ht="14.25" customHeight="1">
      <c r="R443" s="15"/>
    </row>
    <row r="444" spans="18:18" ht="14.25" customHeight="1">
      <c r="R444" s="15"/>
    </row>
    <row r="445" spans="18:18" ht="14.25" customHeight="1">
      <c r="R445" s="15"/>
    </row>
    <row r="446" spans="18:18" ht="14.25" customHeight="1">
      <c r="R446" s="15"/>
    </row>
    <row r="447" spans="18:18" ht="14.25" customHeight="1">
      <c r="R447" s="15"/>
    </row>
    <row r="448" spans="18:18" ht="14.25" customHeight="1">
      <c r="R448" s="15"/>
    </row>
    <row r="449" spans="18:18" ht="14.25" customHeight="1">
      <c r="R449" s="15"/>
    </row>
    <row r="450" spans="18:18" ht="14.25" customHeight="1">
      <c r="R450" s="15"/>
    </row>
    <row r="451" spans="18:18" ht="14.25" customHeight="1">
      <c r="R451" s="15"/>
    </row>
    <row r="452" spans="18:18" ht="14.25" customHeight="1">
      <c r="R452" s="15"/>
    </row>
    <row r="453" spans="18:18" ht="14.25" customHeight="1">
      <c r="R453" s="15"/>
    </row>
    <row r="454" spans="18:18" ht="14.25" customHeight="1">
      <c r="R454" s="15"/>
    </row>
    <row r="455" spans="18:18" ht="14.25" customHeight="1">
      <c r="R455" s="15"/>
    </row>
    <row r="456" spans="18:18" ht="14.25" customHeight="1">
      <c r="R456" s="15"/>
    </row>
    <row r="457" spans="18:18" ht="14.25" customHeight="1">
      <c r="R457" s="15"/>
    </row>
    <row r="458" spans="18:18" ht="14.25" customHeight="1">
      <c r="R458" s="15"/>
    </row>
    <row r="459" spans="18:18" ht="14.25" customHeight="1">
      <c r="R459" s="15"/>
    </row>
    <row r="460" spans="18:18" ht="14.25" customHeight="1">
      <c r="R460" s="15"/>
    </row>
    <row r="461" spans="18:18" ht="14.25" customHeight="1">
      <c r="R461" s="15"/>
    </row>
    <row r="462" spans="18:18" ht="14.25" customHeight="1">
      <c r="R462" s="15"/>
    </row>
    <row r="463" spans="18:18" ht="14.25" customHeight="1">
      <c r="R463" s="15"/>
    </row>
    <row r="464" spans="18:18" ht="14.25" customHeight="1">
      <c r="R464" s="15"/>
    </row>
    <row r="465" spans="18:18" ht="14.25" customHeight="1">
      <c r="R465" s="15"/>
    </row>
    <row r="466" spans="18:18" ht="14.25" customHeight="1">
      <c r="R466" s="15"/>
    </row>
    <row r="467" spans="18:18" ht="14.25" customHeight="1">
      <c r="R467" s="15"/>
    </row>
    <row r="468" spans="18:18" ht="14.25" customHeight="1">
      <c r="R468" s="15"/>
    </row>
    <row r="469" spans="18:18" ht="14.25" customHeight="1">
      <c r="R469" s="15"/>
    </row>
    <row r="470" spans="18:18" ht="14.25" customHeight="1">
      <c r="R470" s="15"/>
    </row>
    <row r="471" spans="18:18" ht="14.25" customHeight="1">
      <c r="R471" s="15"/>
    </row>
    <row r="472" spans="18:18" ht="14.25" customHeight="1">
      <c r="R472" s="15"/>
    </row>
    <row r="473" spans="18:18" ht="14.25" customHeight="1">
      <c r="R473" s="15"/>
    </row>
    <row r="474" spans="18:18" ht="14.25" customHeight="1">
      <c r="R474" s="15"/>
    </row>
    <row r="475" spans="18:18" ht="14.25" customHeight="1">
      <c r="R475" s="15"/>
    </row>
    <row r="476" spans="18:18" ht="14.25" customHeight="1">
      <c r="R476" s="15"/>
    </row>
    <row r="477" spans="18:18" ht="14.25" customHeight="1">
      <c r="R477" s="15"/>
    </row>
    <row r="478" spans="18:18" ht="14.25" customHeight="1">
      <c r="R478" s="15"/>
    </row>
    <row r="479" spans="18:18" ht="14.25" customHeight="1">
      <c r="R479" s="15"/>
    </row>
    <row r="480" spans="18:18" ht="14.25" customHeight="1">
      <c r="R480" s="15"/>
    </row>
    <row r="481" spans="18:18" ht="14.25" customHeight="1">
      <c r="R481" s="15"/>
    </row>
    <row r="482" spans="18:18" ht="14.25" customHeight="1">
      <c r="R482" s="15"/>
    </row>
    <row r="483" spans="18:18" ht="14.25" customHeight="1">
      <c r="R483" s="15"/>
    </row>
    <row r="484" spans="18:18" ht="14.25" customHeight="1">
      <c r="R484" s="15"/>
    </row>
    <row r="485" spans="18:18" ht="14.25" customHeight="1">
      <c r="R485" s="15"/>
    </row>
    <row r="486" spans="18:18" ht="14.25" customHeight="1">
      <c r="R486" s="15"/>
    </row>
    <row r="487" spans="18:18" ht="14.25" customHeight="1">
      <c r="R487" s="15"/>
    </row>
    <row r="488" spans="18:18" ht="14.25" customHeight="1">
      <c r="R488" s="15"/>
    </row>
    <row r="489" spans="18:18" ht="14.25" customHeight="1">
      <c r="R489" s="15"/>
    </row>
    <row r="490" spans="18:18" ht="14.25" customHeight="1">
      <c r="R490" s="15"/>
    </row>
    <row r="491" spans="18:18" ht="14.25" customHeight="1">
      <c r="R491" s="15"/>
    </row>
    <row r="492" spans="18:18" ht="14.25" customHeight="1">
      <c r="R492" s="15"/>
    </row>
    <row r="493" spans="18:18" ht="14.25" customHeight="1">
      <c r="R493" s="15"/>
    </row>
    <row r="494" spans="18:18" ht="14.25" customHeight="1">
      <c r="R494" s="15"/>
    </row>
    <row r="495" spans="18:18" ht="14.25" customHeight="1">
      <c r="R495" s="15"/>
    </row>
    <row r="496" spans="18:18" ht="14.25" customHeight="1">
      <c r="R496" s="15"/>
    </row>
    <row r="497" spans="18:18" ht="14.25" customHeight="1">
      <c r="R497" s="15"/>
    </row>
    <row r="498" spans="18:18" ht="14.25" customHeight="1">
      <c r="R498" s="15"/>
    </row>
    <row r="499" spans="18:18" ht="14.25" customHeight="1">
      <c r="R499" s="15"/>
    </row>
    <row r="500" spans="18:18" ht="14.25" customHeight="1">
      <c r="R500" s="15"/>
    </row>
    <row r="501" spans="18:18" ht="14.25" customHeight="1">
      <c r="R501" s="15"/>
    </row>
    <row r="502" spans="18:18" ht="14.25" customHeight="1">
      <c r="R502" s="15"/>
    </row>
    <row r="503" spans="18:18" ht="14.25" customHeight="1">
      <c r="R503" s="15"/>
    </row>
    <row r="504" spans="18:18" ht="14.25" customHeight="1">
      <c r="R504" s="15"/>
    </row>
    <row r="505" spans="18:18" ht="14.25" customHeight="1">
      <c r="R505" s="15"/>
    </row>
    <row r="506" spans="18:18" ht="14.25" customHeight="1">
      <c r="R506" s="15"/>
    </row>
    <row r="507" spans="18:18" ht="14.25" customHeight="1">
      <c r="R507" s="15"/>
    </row>
    <row r="508" spans="18:18" ht="14.25" customHeight="1">
      <c r="R508" s="15"/>
    </row>
    <row r="509" spans="18:18" ht="14.25" customHeight="1">
      <c r="R509" s="15"/>
    </row>
    <row r="510" spans="18:18" ht="14.25" customHeight="1">
      <c r="R510" s="15"/>
    </row>
    <row r="511" spans="18:18" ht="14.25" customHeight="1">
      <c r="R511" s="15"/>
    </row>
    <row r="512" spans="18:18" ht="14.25" customHeight="1">
      <c r="R512" s="15"/>
    </row>
    <row r="513" spans="18:18" ht="14.25" customHeight="1">
      <c r="R513" s="15"/>
    </row>
    <row r="514" spans="18:18" ht="14.25" customHeight="1">
      <c r="R514" s="15"/>
    </row>
    <row r="515" spans="18:18" ht="14.25" customHeight="1">
      <c r="R515" s="15"/>
    </row>
    <row r="516" spans="18:18" ht="14.25" customHeight="1">
      <c r="R516" s="15"/>
    </row>
    <row r="517" spans="18:18" ht="14.25" customHeight="1">
      <c r="R517" s="15"/>
    </row>
    <row r="518" spans="18:18" ht="14.25" customHeight="1">
      <c r="R518" s="15"/>
    </row>
    <row r="519" spans="18:18" ht="14.25" customHeight="1">
      <c r="R519" s="15"/>
    </row>
    <row r="520" spans="18:18" ht="14.25" customHeight="1">
      <c r="R520" s="15"/>
    </row>
    <row r="521" spans="18:18" ht="14.25" customHeight="1">
      <c r="R521" s="15"/>
    </row>
    <row r="522" spans="18:18" ht="14.25" customHeight="1">
      <c r="R522" s="15"/>
    </row>
    <row r="523" spans="18:18" ht="14.25" customHeight="1">
      <c r="R523" s="15"/>
    </row>
    <row r="524" spans="18:18" ht="14.25" customHeight="1">
      <c r="R524" s="15"/>
    </row>
    <row r="525" spans="18:18" ht="14.25" customHeight="1">
      <c r="R525" s="15"/>
    </row>
    <row r="526" spans="18:18" ht="14.25" customHeight="1">
      <c r="R526" s="15"/>
    </row>
    <row r="527" spans="18:18" ht="14.25" customHeight="1">
      <c r="R527" s="15"/>
    </row>
    <row r="528" spans="18:18" ht="14.25" customHeight="1">
      <c r="R528" s="15"/>
    </row>
    <row r="529" spans="18:18" ht="14.25" customHeight="1">
      <c r="R529" s="15"/>
    </row>
    <row r="530" spans="18:18" ht="14.25" customHeight="1">
      <c r="R530" s="15"/>
    </row>
    <row r="531" spans="18:18" ht="14.25" customHeight="1">
      <c r="R531" s="15"/>
    </row>
    <row r="532" spans="18:18" ht="14.25" customHeight="1">
      <c r="R532" s="15"/>
    </row>
    <row r="533" spans="18:18" ht="14.25" customHeight="1">
      <c r="R533" s="15"/>
    </row>
    <row r="534" spans="18:18" ht="14.25" customHeight="1">
      <c r="R534" s="15"/>
    </row>
    <row r="535" spans="18:18" ht="14.25" customHeight="1">
      <c r="R535" s="15"/>
    </row>
    <row r="536" spans="18:18" ht="14.25" customHeight="1">
      <c r="R536" s="15"/>
    </row>
    <row r="537" spans="18:18" ht="14.25" customHeight="1">
      <c r="R537" s="15"/>
    </row>
    <row r="538" spans="18:18" ht="14.25" customHeight="1">
      <c r="R538" s="15"/>
    </row>
    <row r="539" spans="18:18" ht="14.25" customHeight="1">
      <c r="R539" s="15"/>
    </row>
    <row r="540" spans="18:18" ht="14.25" customHeight="1">
      <c r="R540" s="15"/>
    </row>
    <row r="541" spans="18:18" ht="14.25" customHeight="1">
      <c r="R541" s="15"/>
    </row>
    <row r="542" spans="18:18" ht="14.25" customHeight="1">
      <c r="R542" s="15"/>
    </row>
    <row r="543" spans="18:18" ht="14.25" customHeight="1">
      <c r="R543" s="15"/>
    </row>
    <row r="544" spans="18:18" ht="14.25" customHeight="1">
      <c r="R544" s="15"/>
    </row>
    <row r="545" spans="18:18" ht="14.25" customHeight="1">
      <c r="R545" s="15"/>
    </row>
    <row r="546" spans="18:18" ht="14.25" customHeight="1">
      <c r="R546" s="15"/>
    </row>
    <row r="547" spans="18:18" ht="14.25" customHeight="1">
      <c r="R547" s="15"/>
    </row>
    <row r="548" spans="18:18" ht="14.25" customHeight="1">
      <c r="R548" s="15"/>
    </row>
    <row r="549" spans="18:18" ht="14.25" customHeight="1">
      <c r="R549" s="15"/>
    </row>
    <row r="550" spans="18:18" ht="14.25" customHeight="1">
      <c r="R550" s="15"/>
    </row>
    <row r="551" spans="18:18" ht="14.25" customHeight="1">
      <c r="R551" s="15"/>
    </row>
    <row r="552" spans="18:18" ht="14.25" customHeight="1">
      <c r="R552" s="15"/>
    </row>
    <row r="553" spans="18:18" ht="14.25" customHeight="1">
      <c r="R553" s="15"/>
    </row>
    <row r="554" spans="18:18" ht="14.25" customHeight="1">
      <c r="R554" s="15"/>
    </row>
    <row r="555" spans="18:18" ht="14.25" customHeight="1">
      <c r="R555" s="15"/>
    </row>
    <row r="556" spans="18:18" ht="14.25" customHeight="1">
      <c r="R556" s="15"/>
    </row>
    <row r="557" spans="18:18" ht="14.25" customHeight="1">
      <c r="R557" s="15"/>
    </row>
    <row r="558" spans="18:18" ht="14.25" customHeight="1">
      <c r="R558" s="15"/>
    </row>
    <row r="559" spans="18:18" ht="14.25" customHeight="1">
      <c r="R559" s="15"/>
    </row>
    <row r="560" spans="18:18" ht="14.25" customHeight="1">
      <c r="R560" s="15"/>
    </row>
    <row r="561" spans="18:18" ht="14.25" customHeight="1">
      <c r="R561" s="15"/>
    </row>
    <row r="562" spans="18:18" ht="14.25" customHeight="1">
      <c r="R562" s="15"/>
    </row>
    <row r="563" spans="18:18" ht="14.25" customHeight="1">
      <c r="R563" s="15"/>
    </row>
    <row r="564" spans="18:18" ht="14.25" customHeight="1">
      <c r="R564" s="15"/>
    </row>
    <row r="565" spans="18:18" ht="14.25" customHeight="1">
      <c r="R565" s="15"/>
    </row>
    <row r="566" spans="18:18" ht="14.25" customHeight="1">
      <c r="R566" s="15"/>
    </row>
    <row r="567" spans="18:18" ht="14.25" customHeight="1">
      <c r="R567" s="15"/>
    </row>
    <row r="568" spans="18:18" ht="14.25" customHeight="1">
      <c r="R568" s="15"/>
    </row>
    <row r="569" spans="18:18" ht="14.25" customHeight="1">
      <c r="R569" s="15"/>
    </row>
    <row r="570" spans="18:18" ht="14.25" customHeight="1">
      <c r="R570" s="15"/>
    </row>
    <row r="571" spans="18:18" ht="14.25" customHeight="1">
      <c r="R571" s="15"/>
    </row>
    <row r="572" spans="18:18" ht="14.25" customHeight="1">
      <c r="R572" s="15"/>
    </row>
    <row r="573" spans="18:18" ht="14.25" customHeight="1">
      <c r="R573" s="15"/>
    </row>
    <row r="574" spans="18:18" ht="14.25" customHeight="1">
      <c r="R574" s="15"/>
    </row>
    <row r="575" spans="18:18" ht="14.25" customHeight="1">
      <c r="R575" s="15"/>
    </row>
    <row r="576" spans="18:18" ht="14.25" customHeight="1">
      <c r="R576" s="15"/>
    </row>
    <row r="577" spans="18:18" ht="14.25" customHeight="1">
      <c r="R577" s="15"/>
    </row>
    <row r="578" spans="18:18" ht="14.25" customHeight="1">
      <c r="R578" s="15"/>
    </row>
    <row r="579" spans="18:18" ht="14.25" customHeight="1">
      <c r="R579" s="15"/>
    </row>
    <row r="580" spans="18:18" ht="14.25" customHeight="1">
      <c r="R580" s="15"/>
    </row>
    <row r="581" spans="18:18" ht="14.25" customHeight="1">
      <c r="R581" s="15"/>
    </row>
    <row r="582" spans="18:18" ht="14.25" customHeight="1">
      <c r="R582" s="15"/>
    </row>
    <row r="583" spans="18:18" ht="14.25" customHeight="1">
      <c r="R583" s="15"/>
    </row>
    <row r="584" spans="18:18" ht="14.25" customHeight="1">
      <c r="R584" s="15"/>
    </row>
    <row r="585" spans="18:18" ht="14.25" customHeight="1">
      <c r="R585" s="15"/>
    </row>
    <row r="586" spans="18:18" ht="14.25" customHeight="1">
      <c r="R586" s="15"/>
    </row>
    <row r="587" spans="18:18" ht="14.25" customHeight="1">
      <c r="R587" s="15"/>
    </row>
    <row r="588" spans="18:18" ht="14.25" customHeight="1">
      <c r="R588" s="15"/>
    </row>
    <row r="589" spans="18:18" ht="14.25" customHeight="1">
      <c r="R589" s="15"/>
    </row>
    <row r="590" spans="18:18" ht="14.25" customHeight="1">
      <c r="R590" s="15"/>
    </row>
    <row r="591" spans="18:18" ht="14.25" customHeight="1">
      <c r="R591" s="15"/>
    </row>
    <row r="592" spans="18:18" ht="14.25" customHeight="1">
      <c r="R592" s="15"/>
    </row>
    <row r="593" spans="18:18" ht="14.25" customHeight="1">
      <c r="R593" s="15"/>
    </row>
    <row r="594" spans="18:18" ht="14.25" customHeight="1">
      <c r="R594" s="15"/>
    </row>
    <row r="595" spans="18:18" ht="14.25" customHeight="1">
      <c r="R595" s="15"/>
    </row>
    <row r="596" spans="18:18" ht="14.25" customHeight="1">
      <c r="R596" s="15"/>
    </row>
    <row r="597" spans="18:18" ht="14.25" customHeight="1">
      <c r="R597" s="15"/>
    </row>
    <row r="598" spans="18:18" ht="14.25" customHeight="1">
      <c r="R598" s="15"/>
    </row>
    <row r="599" spans="18:18" ht="14.25" customHeight="1">
      <c r="R599" s="15"/>
    </row>
    <row r="600" spans="18:18" ht="14.25" customHeight="1">
      <c r="R600" s="15"/>
    </row>
    <row r="601" spans="18:18" ht="14.25" customHeight="1">
      <c r="R601" s="15"/>
    </row>
    <row r="602" spans="18:18" ht="14.25" customHeight="1">
      <c r="R602" s="15"/>
    </row>
    <row r="603" spans="18:18" ht="14.25" customHeight="1">
      <c r="R603" s="15"/>
    </row>
    <row r="604" spans="18:18" ht="14.25" customHeight="1">
      <c r="R604" s="15"/>
    </row>
    <row r="605" spans="18:18" ht="14.25" customHeight="1">
      <c r="R605" s="15"/>
    </row>
    <row r="606" spans="18:18" ht="14.25" customHeight="1">
      <c r="R606" s="15"/>
    </row>
    <row r="607" spans="18:18" ht="14.25" customHeight="1">
      <c r="R607" s="15"/>
    </row>
    <row r="608" spans="18:18" ht="14.25" customHeight="1">
      <c r="R608" s="15"/>
    </row>
    <row r="609" spans="18:18" ht="14.25" customHeight="1">
      <c r="R609" s="15"/>
    </row>
    <row r="610" spans="18:18" ht="14.25" customHeight="1">
      <c r="R610" s="15"/>
    </row>
    <row r="611" spans="18:18" ht="14.25" customHeight="1">
      <c r="R611" s="15"/>
    </row>
    <row r="612" spans="18:18" ht="14.25" customHeight="1">
      <c r="R612" s="15"/>
    </row>
    <row r="613" spans="18:18" ht="14.25" customHeight="1">
      <c r="R613" s="15"/>
    </row>
    <row r="614" spans="18:18" ht="14.25" customHeight="1">
      <c r="R614" s="15"/>
    </row>
    <row r="615" spans="18:18" ht="14.25" customHeight="1">
      <c r="R615" s="15"/>
    </row>
    <row r="616" spans="18:18" ht="14.25" customHeight="1">
      <c r="R616" s="15"/>
    </row>
    <row r="617" spans="18:18" ht="14.25" customHeight="1">
      <c r="R617" s="15"/>
    </row>
    <row r="618" spans="18:18" ht="14.25" customHeight="1">
      <c r="R618" s="15"/>
    </row>
    <row r="619" spans="18:18" ht="14.25" customHeight="1">
      <c r="R619" s="15"/>
    </row>
    <row r="620" spans="18:18" ht="14.25" customHeight="1">
      <c r="R620" s="15"/>
    </row>
    <row r="621" spans="18:18" ht="14.25" customHeight="1">
      <c r="R621" s="15"/>
    </row>
    <row r="622" spans="18:18" ht="14.25" customHeight="1">
      <c r="R622" s="15"/>
    </row>
    <row r="623" spans="18:18" ht="14.25" customHeight="1">
      <c r="R623" s="15"/>
    </row>
    <row r="624" spans="18:18" ht="14.25" customHeight="1">
      <c r="R624" s="15"/>
    </row>
    <row r="625" spans="18:18" ht="14.25" customHeight="1">
      <c r="R625" s="15"/>
    </row>
    <row r="626" spans="18:18" ht="14.25" customHeight="1">
      <c r="R626" s="15"/>
    </row>
    <row r="627" spans="18:18" ht="14.25" customHeight="1">
      <c r="R627" s="15"/>
    </row>
    <row r="628" spans="18:18" ht="14.25" customHeight="1">
      <c r="R628" s="15"/>
    </row>
    <row r="629" spans="18:18" ht="14.25" customHeight="1">
      <c r="R629" s="15"/>
    </row>
    <row r="630" spans="18:18" ht="14.25" customHeight="1">
      <c r="R630" s="15"/>
    </row>
    <row r="631" spans="18:18" ht="14.25" customHeight="1">
      <c r="R631" s="15"/>
    </row>
    <row r="632" spans="18:18" ht="14.25" customHeight="1">
      <c r="R632" s="15"/>
    </row>
    <row r="633" spans="18:18" ht="14.25" customHeight="1">
      <c r="R633" s="15"/>
    </row>
    <row r="634" spans="18:18" ht="14.25" customHeight="1">
      <c r="R634" s="15"/>
    </row>
    <row r="635" spans="18:18" ht="14.25" customHeight="1">
      <c r="R635" s="15"/>
    </row>
    <row r="636" spans="18:18" ht="14.25" customHeight="1">
      <c r="R636" s="15"/>
    </row>
    <row r="637" spans="18:18" ht="14.25" customHeight="1">
      <c r="R637" s="15"/>
    </row>
    <row r="638" spans="18:18" ht="14.25" customHeight="1">
      <c r="R638" s="15"/>
    </row>
    <row r="639" spans="18:18" ht="14.25" customHeight="1">
      <c r="R639" s="15"/>
    </row>
    <row r="640" spans="18:18" ht="14.25" customHeight="1">
      <c r="R640" s="15"/>
    </row>
    <row r="641" spans="18:18" ht="14.25" customHeight="1">
      <c r="R641" s="15"/>
    </row>
    <row r="642" spans="18:18" ht="14.25" customHeight="1">
      <c r="R642" s="15"/>
    </row>
    <row r="643" spans="18:18" ht="14.25" customHeight="1">
      <c r="R643" s="15"/>
    </row>
    <row r="644" spans="18:18" ht="14.25" customHeight="1">
      <c r="R644" s="15"/>
    </row>
    <row r="645" spans="18:18" ht="14.25" customHeight="1">
      <c r="R645" s="15"/>
    </row>
    <row r="646" spans="18:18" ht="14.25" customHeight="1">
      <c r="R646" s="15"/>
    </row>
    <row r="647" spans="18:18" ht="14.25" customHeight="1">
      <c r="R647" s="15"/>
    </row>
    <row r="648" spans="18:18" ht="14.25" customHeight="1">
      <c r="R648" s="15"/>
    </row>
    <row r="649" spans="18:18" ht="14.25" customHeight="1">
      <c r="R649" s="15"/>
    </row>
    <row r="650" spans="18:18" ht="14.25" customHeight="1">
      <c r="R650" s="15"/>
    </row>
    <row r="651" spans="18:18" ht="14.25" customHeight="1">
      <c r="R651" s="15"/>
    </row>
    <row r="652" spans="18:18" ht="14.25" customHeight="1">
      <c r="R652" s="15"/>
    </row>
    <row r="653" spans="18:18" ht="14.25" customHeight="1">
      <c r="R653" s="15"/>
    </row>
    <row r="654" spans="18:18" ht="14.25" customHeight="1">
      <c r="R654" s="15"/>
    </row>
    <row r="655" spans="18:18" ht="14.25" customHeight="1">
      <c r="R655" s="15"/>
    </row>
    <row r="656" spans="18:18" ht="14.25" customHeight="1">
      <c r="R656" s="15"/>
    </row>
    <row r="657" spans="18:18" ht="14.25" customHeight="1">
      <c r="R657" s="15"/>
    </row>
    <row r="658" spans="18:18" ht="14.25" customHeight="1">
      <c r="R658" s="15"/>
    </row>
    <row r="659" spans="18:18" ht="14.25" customHeight="1">
      <c r="R659" s="15"/>
    </row>
    <row r="660" spans="18:18" ht="14.25" customHeight="1">
      <c r="R660" s="15"/>
    </row>
    <row r="661" spans="18:18" ht="14.25" customHeight="1">
      <c r="R661" s="15"/>
    </row>
    <row r="662" spans="18:18" ht="14.25" customHeight="1">
      <c r="R662" s="15"/>
    </row>
    <row r="663" spans="18:18" ht="14.25" customHeight="1">
      <c r="R663" s="15"/>
    </row>
    <row r="664" spans="18:18" ht="14.25" customHeight="1">
      <c r="R664" s="15"/>
    </row>
    <row r="665" spans="18:18" ht="14.25" customHeight="1">
      <c r="R665" s="15"/>
    </row>
    <row r="666" spans="18:18" ht="14.25" customHeight="1">
      <c r="R666" s="15"/>
    </row>
    <row r="667" spans="18:18" ht="14.25" customHeight="1">
      <c r="R667" s="15"/>
    </row>
    <row r="668" spans="18:18" ht="14.25" customHeight="1">
      <c r="R668" s="15"/>
    </row>
    <row r="669" spans="18:18" ht="14.25" customHeight="1">
      <c r="R669" s="15"/>
    </row>
    <row r="670" spans="18:18" ht="14.25" customHeight="1">
      <c r="R670" s="15"/>
    </row>
    <row r="671" spans="18:18" ht="14.25" customHeight="1">
      <c r="R671" s="15"/>
    </row>
    <row r="672" spans="18:18" ht="14.25" customHeight="1">
      <c r="R672" s="15"/>
    </row>
    <row r="673" spans="18:18" ht="14.25" customHeight="1">
      <c r="R673" s="15"/>
    </row>
    <row r="674" spans="18:18" ht="14.25" customHeight="1">
      <c r="R674" s="15"/>
    </row>
    <row r="675" spans="18:18" ht="14.25" customHeight="1">
      <c r="R675" s="15"/>
    </row>
    <row r="676" spans="18:18" ht="14.25" customHeight="1">
      <c r="R676" s="15"/>
    </row>
    <row r="677" spans="18:18" ht="14.25" customHeight="1">
      <c r="R677" s="15"/>
    </row>
    <row r="678" spans="18:18" ht="14.25" customHeight="1">
      <c r="R678" s="15"/>
    </row>
    <row r="679" spans="18:18" ht="14.25" customHeight="1">
      <c r="R679" s="15"/>
    </row>
    <row r="680" spans="18:18" ht="14.25" customHeight="1">
      <c r="R680" s="15"/>
    </row>
    <row r="681" spans="18:18" ht="14.25" customHeight="1">
      <c r="R681" s="15"/>
    </row>
    <row r="682" spans="18:18" ht="14.25" customHeight="1">
      <c r="R682" s="15"/>
    </row>
    <row r="683" spans="18:18" ht="14.25" customHeight="1">
      <c r="R683" s="15"/>
    </row>
    <row r="684" spans="18:18" ht="14.25" customHeight="1">
      <c r="R684" s="15"/>
    </row>
    <row r="685" spans="18:18" ht="14.25" customHeight="1">
      <c r="R685" s="15"/>
    </row>
    <row r="686" spans="18:18" ht="14.25" customHeight="1">
      <c r="R686" s="15"/>
    </row>
    <row r="687" spans="18:18" ht="14.25" customHeight="1">
      <c r="R687" s="15"/>
    </row>
    <row r="688" spans="18:18" ht="14.25" customHeight="1">
      <c r="R688" s="15"/>
    </row>
    <row r="689" spans="18:18" ht="14.25" customHeight="1">
      <c r="R689" s="15"/>
    </row>
    <row r="690" spans="18:18" ht="14.25" customHeight="1">
      <c r="R690" s="15"/>
    </row>
    <row r="691" spans="18:18" ht="14.25" customHeight="1">
      <c r="R691" s="15"/>
    </row>
    <row r="692" spans="18:18" ht="14.25" customHeight="1">
      <c r="R692" s="15"/>
    </row>
    <row r="693" spans="18:18" ht="14.25" customHeight="1">
      <c r="R693" s="15"/>
    </row>
    <row r="694" spans="18:18" ht="14.25" customHeight="1">
      <c r="R694" s="15"/>
    </row>
    <row r="695" spans="18:18" ht="14.25" customHeight="1">
      <c r="R695" s="15"/>
    </row>
    <row r="696" spans="18:18" ht="14.25" customHeight="1">
      <c r="R696" s="15"/>
    </row>
    <row r="697" spans="18:18" ht="14.25" customHeight="1">
      <c r="R697" s="15"/>
    </row>
    <row r="698" spans="18:18" ht="14.25" customHeight="1">
      <c r="R698" s="15"/>
    </row>
    <row r="699" spans="18:18" ht="14.25" customHeight="1">
      <c r="R699" s="15"/>
    </row>
    <row r="700" spans="18:18" ht="14.25" customHeight="1">
      <c r="R700" s="15"/>
    </row>
    <row r="701" spans="18:18" ht="14.25" customHeight="1">
      <c r="R701" s="15"/>
    </row>
    <row r="702" spans="18:18" ht="14.25" customHeight="1">
      <c r="R702" s="15"/>
    </row>
    <row r="703" spans="18:18" ht="14.25" customHeight="1">
      <c r="R703" s="15"/>
    </row>
    <row r="704" spans="18:18" ht="14.25" customHeight="1">
      <c r="R704" s="15"/>
    </row>
    <row r="705" spans="18:18" ht="14.25" customHeight="1">
      <c r="R705" s="15"/>
    </row>
    <row r="706" spans="18:18" ht="14.25" customHeight="1">
      <c r="R706" s="15"/>
    </row>
    <row r="707" spans="18:18" ht="14.25" customHeight="1">
      <c r="R707" s="15"/>
    </row>
    <row r="708" spans="18:18" ht="14.25" customHeight="1">
      <c r="R708" s="15"/>
    </row>
    <row r="709" spans="18:18" ht="14.25" customHeight="1">
      <c r="R709" s="15"/>
    </row>
    <row r="710" spans="18:18" ht="14.25" customHeight="1">
      <c r="R710" s="15"/>
    </row>
    <row r="711" spans="18:18" ht="14.25" customHeight="1">
      <c r="R711" s="15"/>
    </row>
    <row r="712" spans="18:18" ht="14.25" customHeight="1">
      <c r="R712" s="15"/>
    </row>
    <row r="713" spans="18:18" ht="14.25" customHeight="1">
      <c r="R713" s="15"/>
    </row>
    <row r="714" spans="18:18" ht="14.25" customHeight="1">
      <c r="R714" s="15"/>
    </row>
    <row r="715" spans="18:18" ht="14.25" customHeight="1">
      <c r="R715" s="15"/>
    </row>
    <row r="716" spans="18:18" ht="14.25" customHeight="1">
      <c r="R716" s="15"/>
    </row>
    <row r="717" spans="18:18" ht="14.25" customHeight="1">
      <c r="R717" s="15"/>
    </row>
    <row r="718" spans="18:18" ht="14.25" customHeight="1">
      <c r="R718" s="15"/>
    </row>
    <row r="719" spans="18:18" ht="14.25" customHeight="1">
      <c r="R719" s="15"/>
    </row>
    <row r="720" spans="18:18" ht="14.25" customHeight="1">
      <c r="R720" s="15"/>
    </row>
    <row r="721" spans="18:18" ht="14.25" customHeight="1">
      <c r="R721" s="15"/>
    </row>
    <row r="722" spans="18:18" ht="14.25" customHeight="1">
      <c r="R722" s="15"/>
    </row>
    <row r="723" spans="18:18" ht="14.25" customHeight="1">
      <c r="R723" s="15"/>
    </row>
    <row r="724" spans="18:18" ht="14.25" customHeight="1">
      <c r="R724" s="15"/>
    </row>
    <row r="725" spans="18:18" ht="14.25" customHeight="1">
      <c r="R725" s="15"/>
    </row>
    <row r="726" spans="18:18" ht="14.25" customHeight="1">
      <c r="R726" s="15"/>
    </row>
    <row r="727" spans="18:18" ht="14.25" customHeight="1">
      <c r="R727" s="15"/>
    </row>
    <row r="728" spans="18:18" ht="14.25" customHeight="1">
      <c r="R728" s="15"/>
    </row>
    <row r="729" spans="18:18" ht="14.25" customHeight="1">
      <c r="R729" s="15"/>
    </row>
    <row r="730" spans="18:18" ht="14.25" customHeight="1">
      <c r="R730" s="15"/>
    </row>
    <row r="731" spans="18:18" ht="14.25" customHeight="1">
      <c r="R731" s="15"/>
    </row>
    <row r="732" spans="18:18" ht="14.25" customHeight="1">
      <c r="R732" s="15"/>
    </row>
    <row r="733" spans="18:18" ht="14.25" customHeight="1">
      <c r="R733" s="15"/>
    </row>
    <row r="734" spans="18:18" ht="14.25" customHeight="1">
      <c r="R734" s="15"/>
    </row>
    <row r="735" spans="18:18" ht="14.25" customHeight="1">
      <c r="R735" s="15"/>
    </row>
    <row r="736" spans="18:18" ht="14.25" customHeight="1">
      <c r="R736" s="15"/>
    </row>
    <row r="737" spans="18:18" ht="14.25" customHeight="1">
      <c r="R737" s="15"/>
    </row>
    <row r="738" spans="18:18" ht="14.25" customHeight="1">
      <c r="R738" s="15"/>
    </row>
    <row r="739" spans="18:18" ht="14.25" customHeight="1">
      <c r="R739" s="15"/>
    </row>
    <row r="740" spans="18:18" ht="14.25" customHeight="1">
      <c r="R740" s="15"/>
    </row>
    <row r="741" spans="18:18" ht="14.25" customHeight="1">
      <c r="R741" s="15"/>
    </row>
    <row r="742" spans="18:18" ht="14.25" customHeight="1">
      <c r="R742" s="15"/>
    </row>
    <row r="743" spans="18:18" ht="14.25" customHeight="1">
      <c r="R743" s="15"/>
    </row>
    <row r="744" spans="18:18" ht="14.25" customHeight="1">
      <c r="R744" s="15"/>
    </row>
    <row r="745" spans="18:18" ht="14.25" customHeight="1">
      <c r="R745" s="15"/>
    </row>
    <row r="746" spans="18:18" ht="14.25" customHeight="1">
      <c r="R746" s="15"/>
    </row>
    <row r="747" spans="18:18" ht="14.25" customHeight="1">
      <c r="R747" s="15"/>
    </row>
    <row r="748" spans="18:18" ht="14.25" customHeight="1">
      <c r="R748" s="15"/>
    </row>
    <row r="749" spans="18:18" ht="14.25" customHeight="1">
      <c r="R749" s="15"/>
    </row>
    <row r="750" spans="18:18" ht="14.25" customHeight="1">
      <c r="R750" s="15"/>
    </row>
    <row r="751" spans="18:18" ht="14.25" customHeight="1">
      <c r="R751" s="15"/>
    </row>
    <row r="752" spans="18:18" ht="14.25" customHeight="1">
      <c r="R752" s="15"/>
    </row>
    <row r="753" spans="18:18" ht="14.25" customHeight="1">
      <c r="R753" s="15"/>
    </row>
    <row r="754" spans="18:18" ht="14.25" customHeight="1">
      <c r="R754" s="15"/>
    </row>
    <row r="755" spans="18:18" ht="14.25" customHeight="1">
      <c r="R755" s="15"/>
    </row>
    <row r="756" spans="18:18" ht="14.25" customHeight="1">
      <c r="R756" s="15"/>
    </row>
    <row r="757" spans="18:18" ht="14.25" customHeight="1">
      <c r="R757" s="15"/>
    </row>
    <row r="758" spans="18:18" ht="14.25" customHeight="1">
      <c r="R758" s="15"/>
    </row>
    <row r="759" spans="18:18" ht="14.25" customHeight="1">
      <c r="R759" s="15"/>
    </row>
    <row r="760" spans="18:18" ht="14.25" customHeight="1">
      <c r="R760" s="15"/>
    </row>
    <row r="761" spans="18:18" ht="14.25" customHeight="1">
      <c r="R761" s="15"/>
    </row>
    <row r="762" spans="18:18" ht="14.25" customHeight="1">
      <c r="R762" s="15"/>
    </row>
    <row r="763" spans="18:18" ht="14.25" customHeight="1">
      <c r="R763" s="15"/>
    </row>
    <row r="764" spans="18:18" ht="14.25" customHeight="1">
      <c r="R764" s="15"/>
    </row>
    <row r="765" spans="18:18" ht="14.25" customHeight="1">
      <c r="R765" s="15"/>
    </row>
    <row r="766" spans="18:18" ht="14.25" customHeight="1">
      <c r="R766" s="15"/>
    </row>
    <row r="767" spans="18:18" ht="14.25" customHeight="1">
      <c r="R767" s="15"/>
    </row>
    <row r="768" spans="18:18" ht="14.25" customHeight="1">
      <c r="R768" s="15"/>
    </row>
    <row r="769" spans="18:18" ht="14.25" customHeight="1">
      <c r="R769" s="15"/>
    </row>
    <row r="770" spans="18:18" ht="14.25" customHeight="1">
      <c r="R770" s="15"/>
    </row>
    <row r="771" spans="18:18" ht="14.25" customHeight="1">
      <c r="R771" s="15"/>
    </row>
    <row r="772" spans="18:18" ht="14.25" customHeight="1">
      <c r="R772" s="15"/>
    </row>
    <row r="773" spans="18:18" ht="14.25" customHeight="1">
      <c r="R773" s="15"/>
    </row>
    <row r="774" spans="18:18" ht="14.25" customHeight="1">
      <c r="R774" s="15"/>
    </row>
    <row r="775" spans="18:18" ht="14.25" customHeight="1">
      <c r="R775" s="15"/>
    </row>
    <row r="776" spans="18:18" ht="14.25" customHeight="1">
      <c r="R776" s="15"/>
    </row>
    <row r="777" spans="18:18" ht="14.25" customHeight="1">
      <c r="R777" s="15"/>
    </row>
    <row r="778" spans="18:18" ht="14.25" customHeight="1">
      <c r="R778" s="15"/>
    </row>
    <row r="779" spans="18:18" ht="14.25" customHeight="1">
      <c r="R779" s="15"/>
    </row>
    <row r="780" spans="18:18" ht="14.25" customHeight="1">
      <c r="R780" s="15"/>
    </row>
    <row r="781" spans="18:18" ht="14.25" customHeight="1">
      <c r="R781" s="15"/>
    </row>
    <row r="782" spans="18:18" ht="14.25" customHeight="1">
      <c r="R782" s="15"/>
    </row>
    <row r="783" spans="18:18" ht="14.25" customHeight="1">
      <c r="R783" s="15"/>
    </row>
    <row r="784" spans="18:18" ht="14.25" customHeight="1">
      <c r="R784" s="15"/>
    </row>
    <row r="785" spans="18:18" ht="14.25" customHeight="1">
      <c r="R785" s="15"/>
    </row>
    <row r="786" spans="18:18" ht="14.25" customHeight="1">
      <c r="R786" s="15"/>
    </row>
    <row r="787" spans="18:18" ht="14.25" customHeight="1">
      <c r="R787" s="15"/>
    </row>
    <row r="788" spans="18:18" ht="14.25" customHeight="1">
      <c r="R788" s="15"/>
    </row>
    <row r="789" spans="18:18" ht="14.25" customHeight="1">
      <c r="R789" s="15"/>
    </row>
    <row r="790" spans="18:18" ht="14.25" customHeight="1">
      <c r="R790" s="15"/>
    </row>
    <row r="791" spans="18:18" ht="14.25" customHeight="1">
      <c r="R791" s="15"/>
    </row>
    <row r="792" spans="18:18" ht="14.25" customHeight="1">
      <c r="R792" s="15"/>
    </row>
    <row r="793" spans="18:18" ht="14.25" customHeight="1">
      <c r="R793" s="15"/>
    </row>
    <row r="794" spans="18:18" ht="14.25" customHeight="1">
      <c r="R794" s="15"/>
    </row>
    <row r="795" spans="18:18" ht="14.25" customHeight="1">
      <c r="R795" s="15"/>
    </row>
    <row r="796" spans="18:18" ht="14.25" customHeight="1">
      <c r="R796" s="15"/>
    </row>
    <row r="797" spans="18:18" ht="14.25" customHeight="1">
      <c r="R797" s="15"/>
    </row>
    <row r="798" spans="18:18" ht="14.25" customHeight="1">
      <c r="R798" s="15"/>
    </row>
    <row r="799" spans="18:18" ht="14.25" customHeight="1">
      <c r="R799" s="15"/>
    </row>
    <row r="800" spans="18:18" ht="14.25" customHeight="1">
      <c r="R800" s="15"/>
    </row>
    <row r="801" spans="18:18" ht="14.25" customHeight="1">
      <c r="R801" s="15"/>
    </row>
    <row r="802" spans="18:18" ht="14.25" customHeight="1">
      <c r="R802" s="15"/>
    </row>
    <row r="803" spans="18:18" ht="14.25" customHeight="1">
      <c r="R803" s="15"/>
    </row>
    <row r="804" spans="18:18" ht="14.25" customHeight="1">
      <c r="R804" s="15"/>
    </row>
    <row r="805" spans="18:18" ht="14.25" customHeight="1">
      <c r="R805" s="15"/>
    </row>
    <row r="806" spans="18:18" ht="14.25" customHeight="1">
      <c r="R806" s="15"/>
    </row>
    <row r="807" spans="18:18" ht="14.25" customHeight="1">
      <c r="R807" s="15"/>
    </row>
    <row r="808" spans="18:18" ht="14.25" customHeight="1">
      <c r="R808" s="15"/>
    </row>
    <row r="809" spans="18:18" ht="14.25" customHeight="1">
      <c r="R809" s="15"/>
    </row>
    <row r="810" spans="18:18" ht="14.25" customHeight="1">
      <c r="R810" s="15"/>
    </row>
    <row r="811" spans="18:18" ht="14.25" customHeight="1">
      <c r="R811" s="15"/>
    </row>
    <row r="812" spans="18:18" ht="14.25" customHeight="1">
      <c r="R812" s="15"/>
    </row>
    <row r="813" spans="18:18" ht="14.25" customHeight="1">
      <c r="R813" s="15"/>
    </row>
    <row r="814" spans="18:18" ht="14.25" customHeight="1">
      <c r="R814" s="15"/>
    </row>
    <row r="815" spans="18:18" ht="14.25" customHeight="1">
      <c r="R815" s="15"/>
    </row>
    <row r="816" spans="18:18" ht="14.25" customHeight="1">
      <c r="R816" s="15"/>
    </row>
    <row r="817" spans="18:18" ht="14.25" customHeight="1">
      <c r="R817" s="15"/>
    </row>
    <row r="818" spans="18:18" ht="14.25" customHeight="1">
      <c r="R818" s="15"/>
    </row>
    <row r="819" spans="18:18" ht="14.25" customHeight="1">
      <c r="R819" s="15"/>
    </row>
    <row r="820" spans="18:18" ht="14.25" customHeight="1">
      <c r="R820" s="15"/>
    </row>
    <row r="821" spans="18:18" ht="14.25" customHeight="1">
      <c r="R821" s="15"/>
    </row>
    <row r="822" spans="18:18" ht="14.25" customHeight="1">
      <c r="R822" s="15"/>
    </row>
    <row r="823" spans="18:18" ht="14.25" customHeight="1">
      <c r="R823" s="15"/>
    </row>
    <row r="824" spans="18:18" ht="14.25" customHeight="1">
      <c r="R824" s="15"/>
    </row>
    <row r="825" spans="18:18" ht="14.25" customHeight="1">
      <c r="R825" s="15"/>
    </row>
    <row r="826" spans="18:18" ht="14.25" customHeight="1">
      <c r="R826" s="15"/>
    </row>
    <row r="827" spans="18:18" ht="14.25" customHeight="1">
      <c r="R827" s="15"/>
    </row>
    <row r="828" spans="18:18" ht="14.25" customHeight="1">
      <c r="R828" s="15"/>
    </row>
    <row r="829" spans="18:18" ht="14.25" customHeight="1">
      <c r="R829" s="15"/>
    </row>
    <row r="830" spans="18:18" ht="14.25" customHeight="1">
      <c r="R830" s="15"/>
    </row>
    <row r="831" spans="18:18" ht="14.25" customHeight="1">
      <c r="R831" s="15"/>
    </row>
    <row r="832" spans="18:18" ht="14.25" customHeight="1">
      <c r="R832" s="15"/>
    </row>
    <row r="833" spans="18:18" ht="14.25" customHeight="1">
      <c r="R833" s="15"/>
    </row>
    <row r="834" spans="18:18" ht="14.25" customHeight="1">
      <c r="R834" s="15"/>
    </row>
    <row r="835" spans="18:18" ht="14.25" customHeight="1">
      <c r="R835" s="15"/>
    </row>
    <row r="836" spans="18:18" ht="14.25" customHeight="1">
      <c r="R836" s="15"/>
    </row>
    <row r="837" spans="18:18" ht="14.25" customHeight="1">
      <c r="R837" s="15"/>
    </row>
    <row r="838" spans="18:18" ht="14.25" customHeight="1">
      <c r="R838" s="15"/>
    </row>
    <row r="839" spans="18:18" ht="14.25" customHeight="1">
      <c r="R839" s="15"/>
    </row>
    <row r="840" spans="18:18" ht="14.25" customHeight="1">
      <c r="R840" s="15"/>
    </row>
    <row r="841" spans="18:18" ht="14.25" customHeight="1">
      <c r="R841" s="15"/>
    </row>
    <row r="842" spans="18:18" ht="14.25" customHeight="1">
      <c r="R842" s="15"/>
    </row>
    <row r="843" spans="18:18" ht="14.25" customHeight="1">
      <c r="R843" s="15"/>
    </row>
    <row r="844" spans="18:18" ht="14.25" customHeight="1">
      <c r="R844" s="15"/>
    </row>
    <row r="845" spans="18:18" ht="14.25" customHeight="1">
      <c r="R845" s="15"/>
    </row>
    <row r="846" spans="18:18" ht="14.25" customHeight="1">
      <c r="R846" s="15"/>
    </row>
    <row r="847" spans="18:18" ht="14.25" customHeight="1">
      <c r="R847" s="15"/>
    </row>
    <row r="848" spans="18:18" ht="14.25" customHeight="1">
      <c r="R848" s="15"/>
    </row>
    <row r="849" spans="18:18" ht="14.25" customHeight="1">
      <c r="R849" s="15"/>
    </row>
    <row r="850" spans="18:18" ht="14.25" customHeight="1">
      <c r="R850" s="15"/>
    </row>
    <row r="851" spans="18:18" ht="14.25" customHeight="1">
      <c r="R851" s="15"/>
    </row>
    <row r="852" spans="18:18" ht="14.25" customHeight="1">
      <c r="R852" s="15"/>
    </row>
    <row r="853" spans="18:18" ht="14.25" customHeight="1">
      <c r="R853" s="15"/>
    </row>
    <row r="854" spans="18:18" ht="14.25" customHeight="1">
      <c r="R854" s="15"/>
    </row>
    <row r="855" spans="18:18" ht="14.25" customHeight="1">
      <c r="R855" s="15"/>
    </row>
    <row r="856" spans="18:18" ht="14.25" customHeight="1">
      <c r="R856" s="15"/>
    </row>
    <row r="857" spans="18:18" ht="14.25" customHeight="1">
      <c r="R857" s="15"/>
    </row>
    <row r="858" spans="18:18" ht="14.25" customHeight="1">
      <c r="R858" s="15"/>
    </row>
    <row r="859" spans="18:18" ht="14.25" customHeight="1">
      <c r="R859" s="15"/>
    </row>
    <row r="860" spans="18:18" ht="14.25" customHeight="1">
      <c r="R860" s="15"/>
    </row>
    <row r="861" spans="18:18" ht="14.25" customHeight="1">
      <c r="R861" s="15"/>
    </row>
    <row r="862" spans="18:18" ht="14.25" customHeight="1">
      <c r="R862" s="15"/>
    </row>
    <row r="863" spans="18:18" ht="14.25" customHeight="1">
      <c r="R863" s="15"/>
    </row>
    <row r="864" spans="18:18" ht="14.25" customHeight="1">
      <c r="R864" s="15"/>
    </row>
    <row r="865" spans="18:18" ht="14.25" customHeight="1">
      <c r="R865" s="15"/>
    </row>
    <row r="866" spans="18:18" ht="14.25" customHeight="1">
      <c r="R866" s="15"/>
    </row>
    <row r="867" spans="18:18" ht="14.25" customHeight="1">
      <c r="R867" s="15"/>
    </row>
    <row r="868" spans="18:18" ht="14.25" customHeight="1">
      <c r="R868" s="15"/>
    </row>
    <row r="869" spans="18:18" ht="14.25" customHeight="1">
      <c r="R869" s="15"/>
    </row>
    <row r="870" spans="18:18" ht="14.25" customHeight="1">
      <c r="R870" s="15"/>
    </row>
    <row r="871" spans="18:18" ht="14.25" customHeight="1">
      <c r="R871" s="15"/>
    </row>
    <row r="872" spans="18:18" ht="14.25" customHeight="1">
      <c r="R872" s="15"/>
    </row>
    <row r="873" spans="18:18" ht="14.25" customHeight="1">
      <c r="R873" s="15"/>
    </row>
    <row r="874" spans="18:18" ht="14.25" customHeight="1">
      <c r="R874" s="15"/>
    </row>
    <row r="875" spans="18:18" ht="14.25" customHeight="1">
      <c r="R875" s="15"/>
    </row>
    <row r="876" spans="18:18" ht="14.25" customHeight="1">
      <c r="R876" s="15"/>
    </row>
    <row r="877" spans="18:18" ht="14.25" customHeight="1">
      <c r="R877" s="15"/>
    </row>
    <row r="878" spans="18:18" ht="14.25" customHeight="1">
      <c r="R878" s="15"/>
    </row>
    <row r="879" spans="18:18" ht="14.25" customHeight="1">
      <c r="R879" s="15"/>
    </row>
    <row r="880" spans="18:18" ht="14.25" customHeight="1">
      <c r="R880" s="15"/>
    </row>
    <row r="881" spans="18:18" ht="14.25" customHeight="1">
      <c r="R881" s="15"/>
    </row>
    <row r="882" spans="18:18" ht="14.25" customHeight="1">
      <c r="R882" s="15"/>
    </row>
    <row r="883" spans="18:18" ht="14.25" customHeight="1">
      <c r="R883" s="15"/>
    </row>
    <row r="884" spans="18:18" ht="14.25" customHeight="1">
      <c r="R884" s="15"/>
    </row>
    <row r="885" spans="18:18" ht="14.25" customHeight="1">
      <c r="R885" s="15"/>
    </row>
    <row r="886" spans="18:18" ht="14.25" customHeight="1">
      <c r="R886" s="15"/>
    </row>
    <row r="887" spans="18:18" ht="14.25" customHeight="1">
      <c r="R887" s="15"/>
    </row>
    <row r="888" spans="18:18" ht="14.25" customHeight="1">
      <c r="R888" s="15"/>
    </row>
    <row r="889" spans="18:18" ht="14.25" customHeight="1">
      <c r="R889" s="15"/>
    </row>
    <row r="890" spans="18:18" ht="14.25" customHeight="1">
      <c r="R890" s="15"/>
    </row>
    <row r="891" spans="18:18" ht="14.25" customHeight="1">
      <c r="R891" s="15"/>
    </row>
    <row r="892" spans="18:18" ht="14.25" customHeight="1">
      <c r="R892" s="15"/>
    </row>
    <row r="893" spans="18:18" ht="14.25" customHeight="1">
      <c r="R893" s="15"/>
    </row>
    <row r="894" spans="18:18" ht="14.25" customHeight="1">
      <c r="R894" s="15"/>
    </row>
    <row r="895" spans="18:18" ht="14.25" customHeight="1">
      <c r="R895" s="15"/>
    </row>
    <row r="896" spans="18:18" ht="14.25" customHeight="1">
      <c r="R896" s="15"/>
    </row>
    <row r="897" spans="18:18" ht="14.25" customHeight="1">
      <c r="R897" s="15"/>
    </row>
    <row r="898" spans="18:18" ht="14.25" customHeight="1">
      <c r="R898" s="15"/>
    </row>
    <row r="899" spans="18:18" ht="14.25" customHeight="1">
      <c r="R899" s="15"/>
    </row>
    <row r="900" spans="18:18" ht="14.25" customHeight="1">
      <c r="R900" s="15"/>
    </row>
    <row r="901" spans="18:18" ht="14.25" customHeight="1">
      <c r="R901" s="15"/>
    </row>
    <row r="902" spans="18:18" ht="14.25" customHeight="1">
      <c r="R902" s="15"/>
    </row>
    <row r="903" spans="18:18" ht="14.25" customHeight="1">
      <c r="R903" s="15"/>
    </row>
    <row r="904" spans="18:18" ht="14.25" customHeight="1">
      <c r="R904" s="15"/>
    </row>
    <row r="905" spans="18:18" ht="14.25" customHeight="1">
      <c r="R905" s="15"/>
    </row>
    <row r="906" spans="18:18" ht="14.25" customHeight="1">
      <c r="R906" s="15"/>
    </row>
    <row r="907" spans="18:18" ht="14.25" customHeight="1">
      <c r="R907" s="15"/>
    </row>
    <row r="908" spans="18:18" ht="14.25" customHeight="1">
      <c r="R908" s="15"/>
    </row>
    <row r="909" spans="18:18" ht="14.25" customHeight="1">
      <c r="R909" s="15"/>
    </row>
    <row r="910" spans="18:18" ht="14.25" customHeight="1">
      <c r="R910" s="15"/>
    </row>
    <row r="911" spans="18:18" ht="14.25" customHeight="1">
      <c r="R911" s="15"/>
    </row>
    <row r="912" spans="18:18" ht="14.25" customHeight="1">
      <c r="R912" s="15"/>
    </row>
    <row r="913" spans="18:18" ht="14.25" customHeight="1">
      <c r="R913" s="15"/>
    </row>
    <row r="914" spans="18:18" ht="14.25" customHeight="1">
      <c r="R914" s="15"/>
    </row>
    <row r="915" spans="18:18" ht="14.25" customHeight="1">
      <c r="R915" s="15"/>
    </row>
    <row r="916" spans="18:18" ht="14.25" customHeight="1">
      <c r="R916" s="15"/>
    </row>
    <row r="917" spans="18:18" ht="14.25" customHeight="1">
      <c r="R917" s="15"/>
    </row>
    <row r="918" spans="18:18" ht="14.25" customHeight="1">
      <c r="R918" s="15"/>
    </row>
    <row r="919" spans="18:18" ht="14.25" customHeight="1">
      <c r="R919" s="15"/>
    </row>
    <row r="920" spans="18:18" ht="14.25" customHeight="1">
      <c r="R920" s="15"/>
    </row>
    <row r="921" spans="18:18" ht="14.25" customHeight="1">
      <c r="R921" s="15"/>
    </row>
    <row r="922" spans="18:18" ht="14.25" customHeight="1">
      <c r="R922" s="15"/>
    </row>
    <row r="923" spans="18:18" ht="14.25" customHeight="1">
      <c r="R923" s="15"/>
    </row>
    <row r="924" spans="18:18" ht="14.25" customHeight="1">
      <c r="R924" s="15"/>
    </row>
    <row r="925" spans="18:18" ht="14.25" customHeight="1">
      <c r="R925" s="15"/>
    </row>
    <row r="926" spans="18:18" ht="14.25" customHeight="1">
      <c r="R926" s="15"/>
    </row>
    <row r="927" spans="18:18" ht="14.25" customHeight="1">
      <c r="R927" s="15"/>
    </row>
    <row r="928" spans="18:18" ht="14.25" customHeight="1">
      <c r="R928" s="15"/>
    </row>
    <row r="929" spans="18:18" ht="14.25" customHeight="1">
      <c r="R929" s="15"/>
    </row>
    <row r="930" spans="18:18" ht="14.25" customHeight="1">
      <c r="R930" s="15"/>
    </row>
    <row r="931" spans="18:18" ht="14.25" customHeight="1">
      <c r="R931" s="15"/>
    </row>
    <row r="932" spans="18:18" ht="14.25" customHeight="1">
      <c r="R932" s="15"/>
    </row>
    <row r="933" spans="18:18" ht="14.25" customHeight="1">
      <c r="R933" s="15"/>
    </row>
    <row r="934" spans="18:18" ht="14.25" customHeight="1">
      <c r="R934" s="15"/>
    </row>
    <row r="935" spans="18:18" ht="14.25" customHeight="1">
      <c r="R935" s="15"/>
    </row>
    <row r="936" spans="18:18" ht="14.25" customHeight="1">
      <c r="R936" s="15"/>
    </row>
    <row r="937" spans="18:18" ht="14.25" customHeight="1">
      <c r="R937" s="15"/>
    </row>
    <row r="938" spans="18:18" ht="14.25" customHeight="1">
      <c r="R938" s="15"/>
    </row>
    <row r="939" spans="18:18" ht="14.25" customHeight="1">
      <c r="R939" s="15"/>
    </row>
    <row r="940" spans="18:18" ht="14.25" customHeight="1">
      <c r="R940" s="15"/>
    </row>
    <row r="941" spans="18:18" ht="14.25" customHeight="1">
      <c r="R941" s="15"/>
    </row>
    <row r="942" spans="18:18" ht="14.25" customHeight="1">
      <c r="R942" s="15"/>
    </row>
    <row r="943" spans="18:18" ht="14.25" customHeight="1">
      <c r="R943" s="15"/>
    </row>
    <row r="944" spans="18:18" ht="14.25" customHeight="1">
      <c r="R944" s="15"/>
    </row>
    <row r="945" spans="18:18" ht="14.25" customHeight="1">
      <c r="R945" s="15"/>
    </row>
    <row r="946" spans="18:18" ht="14.25" customHeight="1">
      <c r="R946" s="15"/>
    </row>
    <row r="947" spans="18:18" ht="14.25" customHeight="1">
      <c r="R947" s="15"/>
    </row>
    <row r="948" spans="18:18" ht="14.25" customHeight="1">
      <c r="R948" s="15"/>
    </row>
    <row r="949" spans="18:18" ht="14.25" customHeight="1">
      <c r="R949" s="15"/>
    </row>
    <row r="950" spans="18:18" ht="14.25" customHeight="1">
      <c r="R950" s="15"/>
    </row>
    <row r="951" spans="18:18" ht="14.25" customHeight="1">
      <c r="R951" s="15"/>
    </row>
    <row r="952" spans="18:18" ht="14.25" customHeight="1">
      <c r="R952" s="15"/>
    </row>
    <row r="953" spans="18:18" ht="14.25" customHeight="1">
      <c r="R953" s="15"/>
    </row>
    <row r="954" spans="18:18" ht="14.25" customHeight="1">
      <c r="R954" s="15"/>
    </row>
    <row r="955" spans="18:18" ht="14.25" customHeight="1">
      <c r="R955" s="15"/>
    </row>
    <row r="956" spans="18:18" ht="14.25" customHeight="1">
      <c r="R956" s="15"/>
    </row>
    <row r="957" spans="18:18" ht="14.25" customHeight="1">
      <c r="R957" s="15"/>
    </row>
    <row r="958" spans="18:18" ht="14.25" customHeight="1">
      <c r="R958" s="15"/>
    </row>
    <row r="959" spans="18:18" ht="14.25" customHeight="1">
      <c r="R959" s="15"/>
    </row>
    <row r="960" spans="18:18" ht="14.25" customHeight="1">
      <c r="R960" s="15"/>
    </row>
    <row r="961" spans="18:18" ht="14.25" customHeight="1">
      <c r="R961" s="15"/>
    </row>
    <row r="962" spans="18:18" ht="14.25" customHeight="1">
      <c r="R962" s="15"/>
    </row>
    <row r="963" spans="18:18" ht="14.25" customHeight="1">
      <c r="R963" s="15"/>
    </row>
    <row r="964" spans="18:18" ht="14.25" customHeight="1">
      <c r="R964" s="15"/>
    </row>
    <row r="965" spans="18:18" ht="14.25" customHeight="1">
      <c r="R965" s="15"/>
    </row>
    <row r="966" spans="18:18" ht="14.25" customHeight="1">
      <c r="R966" s="15"/>
    </row>
    <row r="967" spans="18:18" ht="14.25" customHeight="1">
      <c r="R967" s="15"/>
    </row>
    <row r="968" spans="18:18" ht="14.25" customHeight="1">
      <c r="R968" s="15"/>
    </row>
    <row r="969" spans="18:18" ht="14.25" customHeight="1">
      <c r="R969" s="15"/>
    </row>
    <row r="970" spans="18:18" ht="14.25" customHeight="1">
      <c r="R970" s="15"/>
    </row>
    <row r="971" spans="18:18" ht="14.25" customHeight="1">
      <c r="R971" s="15"/>
    </row>
    <row r="972" spans="18:18" ht="14.25" customHeight="1">
      <c r="R972" s="15"/>
    </row>
    <row r="973" spans="18:18" ht="14.25" customHeight="1">
      <c r="R973" s="15"/>
    </row>
    <row r="974" spans="18:18" ht="14.25" customHeight="1">
      <c r="R974" s="15"/>
    </row>
    <row r="975" spans="18:18" ht="14.25" customHeight="1">
      <c r="R975" s="15"/>
    </row>
    <row r="976" spans="18:18" ht="14.25" customHeight="1">
      <c r="R976" s="15"/>
    </row>
    <row r="977" spans="18:18" ht="14.25" customHeight="1">
      <c r="R977" s="15"/>
    </row>
    <row r="978" spans="18:18" ht="14.25" customHeight="1">
      <c r="R978" s="15"/>
    </row>
    <row r="979" spans="18:18" ht="14.25" customHeight="1">
      <c r="R979" s="15"/>
    </row>
    <row r="980" spans="18:18" ht="14.25" customHeight="1">
      <c r="R980" s="15"/>
    </row>
    <row r="981" spans="18:18" ht="14.25" customHeight="1">
      <c r="R981" s="15"/>
    </row>
    <row r="982" spans="18:18" ht="14.25" customHeight="1">
      <c r="R982" s="15"/>
    </row>
    <row r="983" spans="18:18" ht="14.25" customHeight="1">
      <c r="R983" s="15"/>
    </row>
    <row r="984" spans="18:18" ht="14.25" customHeight="1">
      <c r="R984" s="15"/>
    </row>
    <row r="985" spans="18:18" ht="14.25" customHeight="1">
      <c r="R985" s="15"/>
    </row>
    <row r="986" spans="18:18" ht="14.25" customHeight="1">
      <c r="R986" s="15"/>
    </row>
    <row r="987" spans="18:18" ht="14.25" customHeight="1">
      <c r="R987" s="15"/>
    </row>
    <row r="988" spans="18:18" ht="14.25" customHeight="1">
      <c r="R988" s="15"/>
    </row>
    <row r="989" spans="18:18" ht="14.25" customHeight="1">
      <c r="R989" s="15"/>
    </row>
    <row r="990" spans="18:18" ht="14.25" customHeight="1">
      <c r="R990" s="15"/>
    </row>
    <row r="991" spans="18:18" ht="14.25" customHeight="1">
      <c r="R991" s="15"/>
    </row>
    <row r="992" spans="18:18" ht="14.25" customHeight="1">
      <c r="R992" s="15"/>
    </row>
    <row r="993" spans="18:18" ht="14.25" customHeight="1">
      <c r="R993" s="15"/>
    </row>
    <row r="994" spans="18:18" ht="14.25" customHeight="1">
      <c r="R994" s="15"/>
    </row>
    <row r="995" spans="18:18" ht="14.25" customHeight="1">
      <c r="R995" s="15"/>
    </row>
    <row r="996" spans="18:18" ht="14.25" customHeight="1">
      <c r="R996" s="15"/>
    </row>
    <row r="997" spans="18:18" ht="14.25" customHeight="1">
      <c r="R997" s="15"/>
    </row>
    <row r="998" spans="18:18" ht="14.25" customHeight="1">
      <c r="R998" s="15"/>
    </row>
    <row r="999" spans="18:18" ht="14.25" customHeight="1">
      <c r="R999" s="15"/>
    </row>
    <row r="1000" spans="18:18" ht="14.25" customHeight="1">
      <c r="R1000" s="15"/>
    </row>
    <row r="1001" spans="18:18" ht="14.25" customHeight="1">
      <c r="R1001" s="15"/>
    </row>
    <row r="1002" spans="18:18" ht="14.25" customHeight="1">
      <c r="R1002" s="15"/>
    </row>
    <row r="1003" spans="18:18" ht="14.25" customHeight="1">
      <c r="R1003" s="15"/>
    </row>
    <row r="1004" spans="18:18" ht="14.25" customHeight="1">
      <c r="R1004" s="15"/>
    </row>
    <row r="1005" spans="18:18" ht="14.25" customHeight="1">
      <c r="R1005" s="15"/>
    </row>
    <row r="1006" spans="18:18" ht="14.25" customHeight="1">
      <c r="R1006" s="15"/>
    </row>
  </sheetData>
  <autoFilter ref="A45:R45" xr:uid="{00000000-0001-0000-0100-000000000000}">
    <sortState xmlns:xlrd2="http://schemas.microsoft.com/office/spreadsheetml/2017/richdata2" ref="A46:R63">
      <sortCondition descending="1" ref="R45"/>
    </sortState>
  </autoFilter>
  <sortState xmlns:xlrd2="http://schemas.microsoft.com/office/spreadsheetml/2017/richdata2" ref="A25:B42">
    <sortCondition descending="1" ref="B25:B42"/>
  </sortState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1" width="66.5703125" customWidth="1"/>
    <col min="2" max="2" width="14.85546875" customWidth="1"/>
    <col min="3" max="3" width="13.5703125" customWidth="1"/>
    <col min="4" max="4" width="8.7109375" customWidth="1"/>
    <col min="5" max="5" width="14" customWidth="1"/>
    <col min="6" max="6" width="9.28515625" customWidth="1"/>
    <col min="7" max="7" width="22.85546875" customWidth="1"/>
    <col min="8" max="8" width="14.28515625" customWidth="1"/>
    <col min="9" max="9" width="26.7109375" customWidth="1"/>
    <col min="10" max="10" width="25.140625" customWidth="1"/>
    <col min="11" max="11" width="31.7109375" customWidth="1"/>
    <col min="12" max="12" width="20" customWidth="1"/>
    <col min="13" max="13" width="9.28515625" customWidth="1"/>
    <col min="14" max="14" width="10" customWidth="1"/>
    <col min="15" max="15" width="22.7109375" customWidth="1"/>
    <col min="16" max="16" width="31.28515625" customWidth="1"/>
    <col min="17" max="17" width="23.7109375" customWidth="1"/>
    <col min="18" max="18" width="26" customWidth="1"/>
    <col min="19" max="19" width="24.28515625" customWidth="1"/>
    <col min="20" max="20" width="6.7109375" customWidth="1"/>
    <col min="21" max="21" width="9.28515625" customWidth="1"/>
    <col min="22" max="22" width="8.5703125" customWidth="1"/>
    <col min="23" max="23" width="13.7109375" customWidth="1"/>
    <col min="24" max="24" width="6.85546875" customWidth="1"/>
    <col min="25" max="25" width="10.28515625" customWidth="1"/>
    <col min="26" max="26" width="11.28515625" customWidth="1"/>
    <col min="27" max="27" width="9.140625" customWidth="1"/>
    <col min="28" max="28" width="15.5703125" customWidth="1"/>
    <col min="29" max="29" width="11.7109375" customWidth="1"/>
    <col min="30" max="30" width="7.7109375" customWidth="1"/>
    <col min="31" max="31" width="7.85546875" customWidth="1"/>
    <col min="32" max="32" width="6.5703125" customWidth="1"/>
    <col min="33" max="33" width="13.28515625" customWidth="1"/>
    <col min="34" max="34" width="10.7109375" customWidth="1"/>
  </cols>
  <sheetData>
    <row r="1" spans="1:34" ht="14.25" customHeight="1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87</v>
      </c>
      <c r="R1" s="8" t="s">
        <v>88</v>
      </c>
      <c r="S1" s="8" t="s">
        <v>89</v>
      </c>
      <c r="T1" s="8" t="s">
        <v>9</v>
      </c>
      <c r="U1" s="8" t="s">
        <v>14</v>
      </c>
      <c r="V1" s="8" t="s">
        <v>18</v>
      </c>
      <c r="W1" s="8" t="s">
        <v>21</v>
      </c>
      <c r="X1" s="8" t="s">
        <v>24</v>
      </c>
      <c r="Y1" s="8" t="s">
        <v>27</v>
      </c>
      <c r="Z1" s="8" t="s">
        <v>29</v>
      </c>
      <c r="AA1" s="8" t="s">
        <v>32</v>
      </c>
      <c r="AB1" s="8" t="s">
        <v>35</v>
      </c>
      <c r="AC1" s="8" t="s">
        <v>38</v>
      </c>
      <c r="AD1" s="8" t="s">
        <v>40</v>
      </c>
      <c r="AE1" s="8" t="s">
        <v>42</v>
      </c>
      <c r="AF1" s="8" t="s">
        <v>45</v>
      </c>
      <c r="AG1" s="8" t="s">
        <v>48</v>
      </c>
      <c r="AH1" s="8" t="s">
        <v>51</v>
      </c>
    </row>
    <row r="2" spans="1:34" ht="14.25" customHeight="1">
      <c r="A2" s="18" t="s">
        <v>107</v>
      </c>
      <c r="D2" s="21">
        <v>1</v>
      </c>
      <c r="T2" s="18">
        <v>1</v>
      </c>
    </row>
    <row r="3" spans="1:34" ht="14.25" customHeight="1">
      <c r="A3" s="18" t="s">
        <v>108</v>
      </c>
      <c r="C3" s="21">
        <v>1</v>
      </c>
      <c r="T3" s="18">
        <v>1</v>
      </c>
    </row>
    <row r="4" spans="1:34" ht="14.25" customHeight="1">
      <c r="A4" s="18" t="s">
        <v>109</v>
      </c>
      <c r="M4" s="21">
        <v>1</v>
      </c>
      <c r="T4" s="21">
        <v>1</v>
      </c>
      <c r="U4" s="21">
        <v>1</v>
      </c>
      <c r="W4" s="21">
        <v>1</v>
      </c>
      <c r="X4" s="21">
        <v>1</v>
      </c>
      <c r="Y4" s="21">
        <v>1</v>
      </c>
    </row>
    <row r="5" spans="1:34" ht="14.25" customHeight="1">
      <c r="A5" s="18" t="s">
        <v>110</v>
      </c>
      <c r="M5" s="21">
        <v>1</v>
      </c>
      <c r="T5" s="18">
        <v>1</v>
      </c>
      <c r="X5" s="21">
        <v>1</v>
      </c>
    </row>
    <row r="6" spans="1:34" ht="14.25" customHeight="1">
      <c r="A6" s="18" t="s">
        <v>111</v>
      </c>
      <c r="H6" s="21">
        <v>1</v>
      </c>
      <c r="M6" s="21">
        <v>1</v>
      </c>
      <c r="U6" s="21">
        <v>1</v>
      </c>
    </row>
    <row r="7" spans="1:34" ht="14.25" customHeight="1">
      <c r="A7" s="18" t="s">
        <v>112</v>
      </c>
      <c r="M7" s="21">
        <v>1</v>
      </c>
      <c r="T7" s="18">
        <v>1</v>
      </c>
      <c r="U7" s="21">
        <v>1</v>
      </c>
      <c r="V7" s="21">
        <v>1</v>
      </c>
      <c r="W7" s="21">
        <v>1</v>
      </c>
    </row>
    <row r="8" spans="1:34" ht="14.25" customHeight="1">
      <c r="A8" s="18" t="s">
        <v>113</v>
      </c>
      <c r="M8" s="21">
        <v>1</v>
      </c>
      <c r="T8" s="18">
        <v>1</v>
      </c>
      <c r="U8" s="21">
        <v>1</v>
      </c>
    </row>
    <row r="9" spans="1:34" ht="14.25" customHeight="1">
      <c r="A9" s="18" t="s">
        <v>114</v>
      </c>
      <c r="B9" s="21">
        <v>1</v>
      </c>
      <c r="C9" s="21">
        <v>1</v>
      </c>
      <c r="T9" s="18">
        <v>1</v>
      </c>
      <c r="U9" s="21">
        <v>1</v>
      </c>
    </row>
    <row r="10" spans="1:34" ht="14.25" customHeight="1">
      <c r="A10" s="18" t="s">
        <v>115</v>
      </c>
      <c r="C10" s="21">
        <v>1</v>
      </c>
      <c r="L10" s="21">
        <v>1</v>
      </c>
      <c r="T10" s="18">
        <v>1</v>
      </c>
      <c r="U10" s="21">
        <v>1</v>
      </c>
    </row>
    <row r="11" spans="1:34" ht="14.25" customHeight="1">
      <c r="A11" s="18" t="s">
        <v>116</v>
      </c>
      <c r="Q11" s="21">
        <v>1</v>
      </c>
      <c r="AD11" s="21">
        <v>1</v>
      </c>
    </row>
    <row r="12" spans="1:34" ht="14.25" customHeight="1">
      <c r="A12" s="18" t="s">
        <v>117</v>
      </c>
      <c r="K12" s="21">
        <v>1</v>
      </c>
      <c r="T12" s="21">
        <v>1</v>
      </c>
      <c r="U12" s="21">
        <v>1</v>
      </c>
      <c r="W12" s="21">
        <v>1</v>
      </c>
      <c r="X12" s="21">
        <v>1</v>
      </c>
      <c r="Y12" s="21">
        <v>1</v>
      </c>
    </row>
    <row r="13" spans="1:34" ht="14.25" customHeight="1">
      <c r="A13" s="18" t="s">
        <v>118</v>
      </c>
      <c r="O13" s="21">
        <v>1</v>
      </c>
      <c r="Y13" s="21">
        <v>1</v>
      </c>
    </row>
    <row r="14" spans="1:34" ht="14.25" customHeight="1">
      <c r="A14" s="18" t="s">
        <v>119</v>
      </c>
      <c r="C14" s="21">
        <v>1</v>
      </c>
      <c r="M14" s="21">
        <v>1</v>
      </c>
      <c r="T14" s="18">
        <v>1</v>
      </c>
      <c r="U14" s="21">
        <v>1</v>
      </c>
      <c r="V14" s="21">
        <v>1</v>
      </c>
      <c r="W14" s="21">
        <v>1</v>
      </c>
      <c r="AE14" s="21">
        <v>1</v>
      </c>
    </row>
    <row r="15" spans="1:34" ht="14.25" customHeight="1">
      <c r="A15" s="18" t="s">
        <v>120</v>
      </c>
      <c r="C15" s="21">
        <v>1</v>
      </c>
      <c r="K15" s="21">
        <v>1</v>
      </c>
      <c r="R15" s="21">
        <v>1</v>
      </c>
      <c r="T15" s="18">
        <v>1</v>
      </c>
      <c r="U15" s="21">
        <v>1</v>
      </c>
      <c r="V15" s="21">
        <v>1</v>
      </c>
    </row>
    <row r="16" spans="1:34" ht="14.25" customHeight="1">
      <c r="A16" s="18" t="s">
        <v>121</v>
      </c>
      <c r="C16" s="21">
        <v>1</v>
      </c>
      <c r="E16" s="21">
        <v>1</v>
      </c>
      <c r="T16" s="18">
        <v>1</v>
      </c>
    </row>
    <row r="17" spans="1:32" ht="14.25" customHeight="1">
      <c r="A17" s="18" t="s">
        <v>122</v>
      </c>
      <c r="B17" s="21">
        <v>1</v>
      </c>
      <c r="F17" s="21">
        <v>1</v>
      </c>
      <c r="M17" s="21">
        <v>1</v>
      </c>
      <c r="V17" s="21">
        <v>1</v>
      </c>
    </row>
    <row r="18" spans="1:32" ht="14.25" customHeight="1">
      <c r="A18" s="18" t="s">
        <v>123</v>
      </c>
      <c r="C18" s="21">
        <v>1</v>
      </c>
      <c r="K18" s="21">
        <v>1</v>
      </c>
      <c r="M18" s="21">
        <v>1</v>
      </c>
      <c r="T18" s="18">
        <v>1</v>
      </c>
    </row>
    <row r="19" spans="1:32" ht="14.25" customHeight="1">
      <c r="A19" s="18" t="s">
        <v>124</v>
      </c>
      <c r="K19" s="21">
        <v>1</v>
      </c>
      <c r="M19" s="21">
        <v>1</v>
      </c>
      <c r="AF19" s="21">
        <v>1</v>
      </c>
    </row>
    <row r="20" spans="1:32" ht="14.25" customHeight="1">
      <c r="A20" s="18" t="s">
        <v>125</v>
      </c>
      <c r="K20" s="21">
        <v>1</v>
      </c>
      <c r="T20" s="18">
        <v>1</v>
      </c>
    </row>
    <row r="21" spans="1:32" ht="14.25" customHeight="1">
      <c r="A21" s="18" t="s">
        <v>126</v>
      </c>
      <c r="J21" s="21">
        <v>1</v>
      </c>
      <c r="K21" s="21">
        <v>1</v>
      </c>
      <c r="L21" s="21">
        <v>1</v>
      </c>
      <c r="T21" s="18">
        <v>1</v>
      </c>
      <c r="U21" s="21">
        <v>1</v>
      </c>
    </row>
    <row r="22" spans="1:32" ht="14.25" customHeight="1">
      <c r="A22" s="18" t="s">
        <v>127</v>
      </c>
      <c r="K22" s="21">
        <v>1</v>
      </c>
      <c r="R22" s="21">
        <v>1</v>
      </c>
      <c r="T22" s="18">
        <v>1</v>
      </c>
      <c r="U22" s="21">
        <v>1</v>
      </c>
    </row>
    <row r="23" spans="1:32" ht="14.25" customHeight="1">
      <c r="A23" s="18" t="s">
        <v>128</v>
      </c>
      <c r="B23" s="21">
        <v>1</v>
      </c>
      <c r="C23" s="21">
        <v>1</v>
      </c>
      <c r="D23" s="21">
        <v>1</v>
      </c>
      <c r="E23" s="21">
        <v>1</v>
      </c>
      <c r="T23" s="18">
        <v>1</v>
      </c>
    </row>
    <row r="24" spans="1:32" ht="14.25" customHeight="1">
      <c r="A24" s="18" t="s">
        <v>129</v>
      </c>
      <c r="F24" s="21">
        <v>1</v>
      </c>
      <c r="T24" s="18">
        <v>1</v>
      </c>
    </row>
    <row r="25" spans="1:32" ht="14.25" customHeight="1">
      <c r="A25" s="18" t="s">
        <v>130</v>
      </c>
      <c r="L25" s="21">
        <v>1</v>
      </c>
      <c r="AC25" s="21">
        <v>1</v>
      </c>
    </row>
    <row r="26" spans="1:32" ht="14.25" customHeight="1">
      <c r="A26" s="18" t="s">
        <v>131</v>
      </c>
      <c r="J26" s="21">
        <v>1</v>
      </c>
      <c r="L26" s="21">
        <v>1</v>
      </c>
      <c r="AC26" s="21">
        <v>1</v>
      </c>
    </row>
    <row r="27" spans="1:32" ht="14.25" customHeight="1">
      <c r="A27" s="18" t="s">
        <v>132</v>
      </c>
      <c r="F27" s="21">
        <v>1</v>
      </c>
      <c r="K27" s="21">
        <v>1</v>
      </c>
      <c r="U27" s="21">
        <v>1</v>
      </c>
    </row>
    <row r="28" spans="1:32" ht="14.25" customHeight="1">
      <c r="A28" s="18" t="s">
        <v>133</v>
      </c>
      <c r="J28" s="21">
        <v>1</v>
      </c>
      <c r="L28" s="21">
        <v>1</v>
      </c>
      <c r="M28" s="21">
        <v>1</v>
      </c>
      <c r="U28" s="21">
        <v>1</v>
      </c>
      <c r="Z28" s="21">
        <v>1</v>
      </c>
      <c r="AA28" s="21">
        <v>1</v>
      </c>
    </row>
    <row r="29" spans="1:32" ht="14.25" customHeight="1">
      <c r="A29" s="18" t="s">
        <v>134</v>
      </c>
      <c r="D29" s="21">
        <v>1</v>
      </c>
      <c r="T29" s="18">
        <v>1</v>
      </c>
      <c r="X29" s="21">
        <v>1</v>
      </c>
      <c r="Z29" s="21">
        <v>1</v>
      </c>
    </row>
    <row r="30" spans="1:32" ht="14.25" customHeight="1">
      <c r="A30" s="18" t="s">
        <v>135</v>
      </c>
      <c r="B30" s="21">
        <v>1</v>
      </c>
      <c r="K30" s="21">
        <v>1</v>
      </c>
      <c r="T30" s="18">
        <v>1</v>
      </c>
      <c r="U30" s="21">
        <v>1</v>
      </c>
    </row>
    <row r="31" spans="1:32" ht="14.25" customHeight="1">
      <c r="A31" s="18" t="s">
        <v>136</v>
      </c>
      <c r="J31" s="21">
        <v>1</v>
      </c>
      <c r="M31" s="21">
        <v>1</v>
      </c>
      <c r="AC31" s="21">
        <v>1</v>
      </c>
    </row>
    <row r="32" spans="1:32" ht="14.25" customHeight="1">
      <c r="A32" s="18" t="s">
        <v>137</v>
      </c>
      <c r="J32" s="21">
        <v>1</v>
      </c>
      <c r="K32" s="21">
        <v>1</v>
      </c>
      <c r="T32" s="18">
        <v>1</v>
      </c>
    </row>
    <row r="33" spans="1:25" ht="14.25" customHeight="1">
      <c r="A33" s="18" t="s">
        <v>138</v>
      </c>
      <c r="B33" s="21">
        <v>1</v>
      </c>
      <c r="T33" s="18">
        <v>1</v>
      </c>
      <c r="U33" s="21">
        <v>1</v>
      </c>
    </row>
    <row r="34" spans="1:25" ht="14.25" customHeight="1">
      <c r="A34" s="18" t="s">
        <v>139</v>
      </c>
      <c r="K34" s="21">
        <v>1</v>
      </c>
      <c r="M34" s="21">
        <v>1</v>
      </c>
      <c r="W34" s="21">
        <v>1</v>
      </c>
    </row>
    <row r="35" spans="1:25" ht="14.25" customHeight="1">
      <c r="A35" s="18" t="s">
        <v>140</v>
      </c>
      <c r="B35" s="21">
        <v>1</v>
      </c>
      <c r="K35" s="21">
        <v>1</v>
      </c>
      <c r="M35" s="21">
        <v>1</v>
      </c>
      <c r="T35" s="18">
        <v>1</v>
      </c>
    </row>
    <row r="36" spans="1:25" ht="14.25" customHeight="1">
      <c r="A36" s="18" t="s">
        <v>141</v>
      </c>
      <c r="B36" s="21">
        <v>1</v>
      </c>
      <c r="C36" s="21">
        <v>1</v>
      </c>
      <c r="M36" s="21">
        <v>1</v>
      </c>
      <c r="T36" s="18">
        <v>1</v>
      </c>
    </row>
    <row r="37" spans="1:25" ht="14.25" customHeight="1">
      <c r="A37" s="18" t="s">
        <v>142</v>
      </c>
      <c r="J37" s="21">
        <v>1</v>
      </c>
      <c r="L37" s="21">
        <v>1</v>
      </c>
      <c r="Y37" s="21">
        <v>1</v>
      </c>
    </row>
    <row r="38" spans="1:25" ht="14.25" customHeight="1">
      <c r="A38" s="18" t="s">
        <v>143</v>
      </c>
      <c r="C38" s="21">
        <v>1</v>
      </c>
      <c r="F38" s="21">
        <v>1</v>
      </c>
      <c r="I38" s="21">
        <v>1</v>
      </c>
      <c r="T38" s="18">
        <v>1</v>
      </c>
      <c r="X38" s="21">
        <v>1</v>
      </c>
    </row>
    <row r="39" spans="1:25" ht="14.25" customHeight="1">
      <c r="A39" s="18" t="s">
        <v>144</v>
      </c>
      <c r="J39" s="21">
        <v>1</v>
      </c>
      <c r="T39" s="18">
        <v>1</v>
      </c>
    </row>
    <row r="40" spans="1:25" ht="14.25" customHeight="1">
      <c r="A40" s="18" t="s">
        <v>145</v>
      </c>
      <c r="B40" s="21">
        <v>1</v>
      </c>
      <c r="T40" s="18">
        <v>1</v>
      </c>
      <c r="U40" s="21">
        <v>1</v>
      </c>
    </row>
    <row r="41" spans="1:25" ht="14.25" customHeight="1">
      <c r="A41" s="18" t="s">
        <v>146</v>
      </c>
      <c r="M41" s="21">
        <v>1</v>
      </c>
      <c r="T41" s="18">
        <v>1</v>
      </c>
    </row>
    <row r="42" spans="1:25" ht="14.25" customHeight="1">
      <c r="A42" s="18" t="s">
        <v>147</v>
      </c>
      <c r="K42" s="21">
        <v>1</v>
      </c>
      <c r="R42" s="21">
        <v>1</v>
      </c>
      <c r="T42" s="18">
        <v>1</v>
      </c>
    </row>
    <row r="43" spans="1:25" ht="14.25" customHeight="1">
      <c r="A43" s="18" t="s">
        <v>148</v>
      </c>
      <c r="C43" s="21">
        <v>1</v>
      </c>
      <c r="M43" s="21">
        <v>1</v>
      </c>
      <c r="T43" s="18">
        <v>1</v>
      </c>
      <c r="X43" s="21">
        <v>1</v>
      </c>
    </row>
    <row r="44" spans="1:25" ht="14.25" customHeight="1">
      <c r="A44" s="18" t="s">
        <v>149</v>
      </c>
      <c r="K44" s="21">
        <v>1</v>
      </c>
      <c r="Y44" s="21">
        <v>1</v>
      </c>
    </row>
    <row r="45" spans="1:25" ht="14.25" customHeight="1">
      <c r="A45" s="18" t="s">
        <v>150</v>
      </c>
      <c r="B45" s="21">
        <v>1</v>
      </c>
      <c r="C45" s="21">
        <v>1</v>
      </c>
      <c r="K45" s="21">
        <v>1</v>
      </c>
      <c r="U45" s="21">
        <v>1</v>
      </c>
    </row>
    <row r="46" spans="1:25" ht="14.25" customHeight="1">
      <c r="A46" s="18" t="s">
        <v>151</v>
      </c>
      <c r="B46" s="21">
        <v>1</v>
      </c>
      <c r="T46" s="18">
        <v>1</v>
      </c>
    </row>
    <row r="47" spans="1:25" ht="14.25" customHeight="1">
      <c r="A47" s="18" t="s">
        <v>152</v>
      </c>
      <c r="K47" s="21">
        <v>1</v>
      </c>
      <c r="T47" s="18">
        <v>1</v>
      </c>
    </row>
    <row r="48" spans="1:25" ht="14.25" customHeight="1">
      <c r="A48" s="18" t="s">
        <v>153</v>
      </c>
      <c r="I48" s="21">
        <v>1</v>
      </c>
      <c r="J48" s="21">
        <v>1</v>
      </c>
      <c r="L48" s="21">
        <v>1</v>
      </c>
      <c r="U48" s="21">
        <v>1</v>
      </c>
    </row>
    <row r="49" spans="1:29" ht="14.25" customHeight="1">
      <c r="A49" s="18" t="s">
        <v>154</v>
      </c>
      <c r="Q49" s="21">
        <v>1</v>
      </c>
      <c r="R49" s="21">
        <v>1</v>
      </c>
      <c r="T49" s="18">
        <v>1</v>
      </c>
      <c r="U49" s="21">
        <v>1</v>
      </c>
    </row>
    <row r="50" spans="1:29" ht="14.25" customHeight="1">
      <c r="A50" s="18" t="s">
        <v>155</v>
      </c>
      <c r="B50" s="21">
        <v>1</v>
      </c>
      <c r="K50" s="21">
        <v>1</v>
      </c>
      <c r="T50" s="18">
        <v>1</v>
      </c>
    </row>
    <row r="51" spans="1:29" ht="14.25" customHeight="1">
      <c r="A51" s="18" t="s">
        <v>156</v>
      </c>
      <c r="B51" s="21">
        <v>1</v>
      </c>
      <c r="J51" s="21">
        <v>1</v>
      </c>
      <c r="K51" s="21">
        <v>1</v>
      </c>
      <c r="L51" s="21">
        <v>1</v>
      </c>
      <c r="W51" s="21">
        <v>1</v>
      </c>
    </row>
    <row r="52" spans="1:29" ht="14.25" customHeight="1">
      <c r="A52" s="18" t="s">
        <v>157</v>
      </c>
      <c r="R52" s="21">
        <v>1</v>
      </c>
      <c r="T52" s="18">
        <v>1</v>
      </c>
    </row>
    <row r="53" spans="1:29" ht="14.25" customHeight="1">
      <c r="A53" s="18" t="s">
        <v>158</v>
      </c>
      <c r="J53" s="21">
        <v>1</v>
      </c>
      <c r="M53" s="21">
        <v>1</v>
      </c>
      <c r="R53" s="21">
        <v>1</v>
      </c>
      <c r="T53" s="18">
        <v>1</v>
      </c>
    </row>
    <row r="54" spans="1:29" ht="14.25" customHeight="1">
      <c r="A54" s="18" t="s">
        <v>159</v>
      </c>
      <c r="Q54" s="21">
        <v>1</v>
      </c>
      <c r="T54" s="18">
        <v>1</v>
      </c>
    </row>
    <row r="55" spans="1:29" ht="14.25" customHeight="1">
      <c r="A55" s="18" t="s">
        <v>160</v>
      </c>
      <c r="C55" s="21">
        <v>1</v>
      </c>
      <c r="D55" s="21">
        <v>1</v>
      </c>
      <c r="E55" s="21">
        <v>1</v>
      </c>
      <c r="T55" s="18">
        <v>1</v>
      </c>
    </row>
    <row r="56" spans="1:29" ht="14.25" customHeight="1">
      <c r="A56" s="18" t="s">
        <v>161</v>
      </c>
      <c r="D56" s="21">
        <v>1</v>
      </c>
      <c r="T56" s="18">
        <v>1</v>
      </c>
    </row>
    <row r="57" spans="1:29" ht="14.25" customHeight="1">
      <c r="A57" s="18" t="s">
        <v>162</v>
      </c>
      <c r="M57" s="21">
        <v>1</v>
      </c>
      <c r="T57" s="18">
        <v>1</v>
      </c>
    </row>
    <row r="58" spans="1:29" ht="14.25" customHeight="1">
      <c r="A58" s="18" t="s">
        <v>163</v>
      </c>
      <c r="M58" s="21">
        <v>1</v>
      </c>
      <c r="Z58" s="21">
        <v>1</v>
      </c>
    </row>
    <row r="59" spans="1:29" ht="14.25" customHeight="1">
      <c r="A59" s="18" t="s">
        <v>164</v>
      </c>
      <c r="K59" s="21">
        <v>1</v>
      </c>
      <c r="M59" s="21">
        <v>1</v>
      </c>
      <c r="AC59" s="21">
        <v>1</v>
      </c>
    </row>
    <row r="60" spans="1:29" ht="14.25" customHeight="1">
      <c r="A60" s="18" t="s">
        <v>165</v>
      </c>
      <c r="R60" s="21">
        <v>1</v>
      </c>
      <c r="S60" s="21">
        <v>1</v>
      </c>
      <c r="U60" s="21">
        <v>1</v>
      </c>
      <c r="X60" s="21">
        <v>1</v>
      </c>
      <c r="Z60" s="21">
        <v>1</v>
      </c>
    </row>
    <row r="61" spans="1:29" ht="14.25" customHeight="1">
      <c r="A61" s="18" t="s">
        <v>166</v>
      </c>
      <c r="M61" s="21">
        <v>1</v>
      </c>
      <c r="N61" s="21">
        <v>1</v>
      </c>
      <c r="T61" s="18">
        <v>1</v>
      </c>
      <c r="X61" s="21">
        <v>1</v>
      </c>
      <c r="Z61" s="21">
        <v>1</v>
      </c>
    </row>
    <row r="62" spans="1:29" ht="14.25" customHeight="1">
      <c r="A62" s="18" t="s">
        <v>167</v>
      </c>
      <c r="M62" s="21">
        <v>1</v>
      </c>
      <c r="U62" s="21">
        <v>1</v>
      </c>
    </row>
    <row r="63" spans="1:29" ht="14.25" customHeight="1">
      <c r="A63" s="18" t="s">
        <v>168</v>
      </c>
      <c r="E63" s="21">
        <v>1</v>
      </c>
      <c r="T63" s="18">
        <v>1</v>
      </c>
    </row>
    <row r="64" spans="1:29" ht="14.25" customHeight="1">
      <c r="A64" s="18" t="s">
        <v>169</v>
      </c>
      <c r="B64" s="21">
        <v>1</v>
      </c>
      <c r="C64" s="21">
        <v>1</v>
      </c>
      <c r="M64" s="21">
        <v>1</v>
      </c>
      <c r="T64" s="18">
        <v>1</v>
      </c>
    </row>
    <row r="65" spans="1:29" ht="14.25" customHeight="1">
      <c r="A65" s="18" t="s">
        <v>170</v>
      </c>
      <c r="K65" s="21">
        <v>1</v>
      </c>
      <c r="P65" s="21">
        <v>1</v>
      </c>
      <c r="AC65" s="21">
        <v>1</v>
      </c>
    </row>
    <row r="66" spans="1:29" ht="14.25" customHeight="1">
      <c r="A66" s="18" t="s">
        <v>171</v>
      </c>
      <c r="B66" s="21">
        <v>1</v>
      </c>
      <c r="T66" s="18">
        <v>1</v>
      </c>
    </row>
    <row r="67" spans="1:29" ht="14.25" customHeight="1">
      <c r="A67" s="18" t="s">
        <v>172</v>
      </c>
      <c r="B67" s="21">
        <v>1</v>
      </c>
      <c r="T67" s="18">
        <v>1</v>
      </c>
    </row>
    <row r="68" spans="1:29" ht="14.25" customHeight="1">
      <c r="A68" s="18" t="s">
        <v>173</v>
      </c>
      <c r="Q68" s="21">
        <v>1</v>
      </c>
      <c r="R68" s="21">
        <v>1</v>
      </c>
      <c r="U68" s="21">
        <v>1</v>
      </c>
    </row>
    <row r="69" spans="1:29" ht="14.25" customHeight="1">
      <c r="A69" s="18" t="s">
        <v>174</v>
      </c>
      <c r="B69" s="21">
        <v>1</v>
      </c>
      <c r="M69" s="21">
        <v>1</v>
      </c>
      <c r="T69" s="18">
        <v>1</v>
      </c>
    </row>
    <row r="70" spans="1:29" ht="14.25" customHeight="1">
      <c r="A70" s="18" t="s">
        <v>175</v>
      </c>
      <c r="M70" s="21">
        <v>1</v>
      </c>
      <c r="Q70" s="21">
        <v>1</v>
      </c>
      <c r="Y70" s="21">
        <v>1</v>
      </c>
    </row>
    <row r="71" spans="1:29" ht="14.25" customHeight="1">
      <c r="A71" s="18" t="s">
        <v>176</v>
      </c>
      <c r="M71" s="21">
        <v>1</v>
      </c>
      <c r="T71" s="18">
        <v>1</v>
      </c>
      <c r="W71" s="21">
        <v>1</v>
      </c>
    </row>
    <row r="72" spans="1:29" ht="14.25" customHeight="1">
      <c r="A72" s="18" t="s">
        <v>177</v>
      </c>
      <c r="F72" s="21">
        <v>1</v>
      </c>
      <c r="K72" s="21">
        <v>1</v>
      </c>
      <c r="M72" s="21">
        <v>1</v>
      </c>
      <c r="T72" s="18">
        <v>1</v>
      </c>
    </row>
    <row r="73" spans="1:29" ht="14.25" customHeight="1">
      <c r="A73" s="18" t="s">
        <v>178</v>
      </c>
      <c r="K73" s="21">
        <v>1</v>
      </c>
      <c r="R73" s="21">
        <v>1</v>
      </c>
      <c r="U73" s="21">
        <v>1</v>
      </c>
    </row>
    <row r="74" spans="1:29" ht="14.25" customHeight="1">
      <c r="A74" s="18" t="s">
        <v>179</v>
      </c>
      <c r="C74" s="21">
        <v>1</v>
      </c>
      <c r="M74" s="21">
        <v>1</v>
      </c>
      <c r="T74" s="18">
        <v>1</v>
      </c>
    </row>
    <row r="75" spans="1:29" ht="14.25" customHeight="1">
      <c r="A75" s="18" t="s">
        <v>180</v>
      </c>
      <c r="M75" s="21">
        <v>1</v>
      </c>
      <c r="Y75" s="21">
        <v>1</v>
      </c>
    </row>
    <row r="76" spans="1:29" ht="14.25" customHeight="1">
      <c r="A76" s="18" t="s">
        <v>181</v>
      </c>
      <c r="C76" s="21">
        <v>1</v>
      </c>
      <c r="K76" s="21">
        <v>1</v>
      </c>
      <c r="Q76" s="21">
        <v>1</v>
      </c>
      <c r="T76" s="18">
        <v>1</v>
      </c>
    </row>
    <row r="77" spans="1:29" ht="14.25" customHeight="1">
      <c r="A77" s="18" t="s">
        <v>182</v>
      </c>
      <c r="M77" s="21">
        <v>1</v>
      </c>
      <c r="T77" s="18">
        <v>1</v>
      </c>
      <c r="X77" s="21">
        <v>1</v>
      </c>
    </row>
    <row r="78" spans="1:29" ht="14.25" customHeight="1">
      <c r="A78" s="18" t="s">
        <v>183</v>
      </c>
      <c r="C78" s="21">
        <v>1</v>
      </c>
      <c r="M78" s="21">
        <v>1</v>
      </c>
      <c r="T78" s="18">
        <v>1</v>
      </c>
    </row>
    <row r="79" spans="1:29" ht="14.25" customHeight="1">
      <c r="A79" s="18" t="s">
        <v>184</v>
      </c>
      <c r="B79" s="21">
        <v>1</v>
      </c>
      <c r="E79" s="21">
        <v>1</v>
      </c>
      <c r="M79" s="21">
        <v>1</v>
      </c>
      <c r="T79" s="18">
        <v>1</v>
      </c>
      <c r="Y79" s="21">
        <v>1</v>
      </c>
    </row>
    <row r="80" spans="1:29" ht="14.25" customHeight="1">
      <c r="A80" s="18" t="s">
        <v>185</v>
      </c>
      <c r="C80" s="21">
        <v>1</v>
      </c>
      <c r="D80" s="21">
        <v>1</v>
      </c>
      <c r="E80" s="21">
        <v>1</v>
      </c>
      <c r="I80" s="21">
        <v>1</v>
      </c>
      <c r="T80" s="18">
        <v>1</v>
      </c>
      <c r="X80" s="21">
        <v>1</v>
      </c>
    </row>
    <row r="81" spans="1:25" ht="14.25" customHeight="1">
      <c r="A81" s="18" t="s">
        <v>186</v>
      </c>
      <c r="D81" s="21">
        <v>1</v>
      </c>
      <c r="F81" s="21">
        <v>1</v>
      </c>
      <c r="T81" s="18">
        <v>1</v>
      </c>
      <c r="U81" s="21">
        <v>1</v>
      </c>
    </row>
    <row r="82" spans="1:25" ht="14.25" customHeight="1">
      <c r="A82" s="18" t="s">
        <v>187</v>
      </c>
      <c r="D82" s="21">
        <v>1</v>
      </c>
      <c r="E82" s="21">
        <v>1</v>
      </c>
      <c r="M82" s="21">
        <v>1</v>
      </c>
      <c r="T82" s="18">
        <v>1</v>
      </c>
    </row>
    <row r="83" spans="1:25" ht="14.25" customHeight="1">
      <c r="A83" s="18" t="s">
        <v>188</v>
      </c>
      <c r="F83" s="21">
        <v>1</v>
      </c>
      <c r="T83" s="18">
        <v>1</v>
      </c>
      <c r="U83" s="21">
        <v>1</v>
      </c>
    </row>
    <row r="84" spans="1:25" ht="14.25" customHeight="1">
      <c r="A84" s="18" t="s">
        <v>189</v>
      </c>
      <c r="C84" s="21">
        <v>1</v>
      </c>
      <c r="T84" s="18">
        <v>1</v>
      </c>
    </row>
    <row r="85" spans="1:25" ht="14.25" customHeight="1">
      <c r="A85" s="18" t="s">
        <v>190</v>
      </c>
      <c r="N85" s="21">
        <v>1</v>
      </c>
      <c r="T85" s="18">
        <v>1</v>
      </c>
      <c r="X85" s="21">
        <v>1</v>
      </c>
    </row>
    <row r="86" spans="1:25" ht="14.25" customHeight="1">
      <c r="A86" s="18" t="s">
        <v>191</v>
      </c>
      <c r="N86" s="21">
        <v>1</v>
      </c>
      <c r="Q86" s="21">
        <v>1</v>
      </c>
      <c r="T86" s="18">
        <v>1</v>
      </c>
    </row>
    <row r="87" spans="1:25" ht="14.25" customHeight="1">
      <c r="A87" s="18" t="s">
        <v>192</v>
      </c>
      <c r="C87" s="21">
        <v>1</v>
      </c>
      <c r="M87" s="21">
        <v>1</v>
      </c>
      <c r="T87" s="18">
        <v>1</v>
      </c>
    </row>
    <row r="88" spans="1:25" ht="14.25" customHeight="1">
      <c r="A88" s="18" t="s">
        <v>193</v>
      </c>
      <c r="Q88" s="21">
        <v>1</v>
      </c>
      <c r="U88" s="21">
        <v>1</v>
      </c>
      <c r="X88" s="21">
        <v>1</v>
      </c>
      <c r="Y88" s="21">
        <v>1</v>
      </c>
    </row>
    <row r="89" spans="1:25" ht="14.25" customHeight="1">
      <c r="A89" s="18" t="s">
        <v>194</v>
      </c>
      <c r="R89" s="21">
        <v>1</v>
      </c>
      <c r="U89" s="21">
        <v>1</v>
      </c>
    </row>
    <row r="90" spans="1:25" ht="14.25" customHeight="1">
      <c r="A90" s="18" t="s">
        <v>195</v>
      </c>
      <c r="N90" s="21">
        <v>1</v>
      </c>
      <c r="P90" s="21">
        <v>1</v>
      </c>
      <c r="S90" s="21">
        <v>1</v>
      </c>
      <c r="T90" s="18">
        <v>1</v>
      </c>
    </row>
    <row r="91" spans="1:25" ht="14.25" customHeight="1">
      <c r="A91" s="18" t="s">
        <v>196</v>
      </c>
      <c r="C91" s="21">
        <v>1</v>
      </c>
      <c r="T91" s="18">
        <v>1</v>
      </c>
      <c r="U91" s="21">
        <v>1</v>
      </c>
      <c r="V91" s="21">
        <v>1</v>
      </c>
      <c r="W91" s="21">
        <v>1</v>
      </c>
      <c r="Y91" s="21">
        <v>1</v>
      </c>
    </row>
    <row r="92" spans="1:25" ht="14.25" customHeight="1">
      <c r="A92" s="18" t="s">
        <v>197</v>
      </c>
      <c r="D92" s="21">
        <v>1</v>
      </c>
      <c r="T92" s="18">
        <v>1</v>
      </c>
    </row>
    <row r="93" spans="1:25" ht="14.25" customHeight="1">
      <c r="A93" s="18" t="s">
        <v>198</v>
      </c>
      <c r="K93" s="21">
        <v>1</v>
      </c>
      <c r="T93" s="18">
        <v>1</v>
      </c>
    </row>
    <row r="94" spans="1:25" ht="14.25" customHeight="1">
      <c r="A94" s="18" t="s">
        <v>199</v>
      </c>
      <c r="B94" s="21">
        <v>1</v>
      </c>
      <c r="M94" s="21">
        <v>1</v>
      </c>
      <c r="T94" s="18">
        <v>1</v>
      </c>
    </row>
    <row r="95" spans="1:25" ht="14.25" customHeight="1">
      <c r="A95" s="18" t="s">
        <v>200</v>
      </c>
      <c r="K95" s="21">
        <v>1</v>
      </c>
      <c r="R95" s="21">
        <v>1</v>
      </c>
      <c r="U95" s="21">
        <v>1</v>
      </c>
    </row>
    <row r="96" spans="1:25" ht="14.25" customHeight="1">
      <c r="A96" s="18" t="s">
        <v>201</v>
      </c>
      <c r="F96" s="21">
        <v>1</v>
      </c>
      <c r="N96" s="21">
        <v>1</v>
      </c>
      <c r="U96" s="21">
        <v>1</v>
      </c>
    </row>
    <row r="97" spans="1:29" ht="14.25" customHeight="1">
      <c r="A97" s="18" t="s">
        <v>202</v>
      </c>
      <c r="K97" s="21">
        <v>1</v>
      </c>
      <c r="M97" s="21">
        <v>1</v>
      </c>
      <c r="AC97" s="21">
        <v>1</v>
      </c>
    </row>
    <row r="98" spans="1:29" ht="14.25" customHeight="1">
      <c r="A98" s="18" t="s">
        <v>203</v>
      </c>
      <c r="B98" s="21">
        <v>1</v>
      </c>
      <c r="C98" s="21">
        <v>1</v>
      </c>
      <c r="M98" s="21">
        <v>1</v>
      </c>
      <c r="T98" s="18">
        <v>1</v>
      </c>
    </row>
    <row r="99" spans="1:29" ht="14.25" customHeight="1">
      <c r="A99" s="18" t="s">
        <v>204</v>
      </c>
      <c r="Q99" s="21">
        <v>1</v>
      </c>
      <c r="T99" s="18">
        <v>1</v>
      </c>
      <c r="AC99" s="21">
        <v>0</v>
      </c>
    </row>
    <row r="100" spans="1:29" ht="14.25" customHeight="1">
      <c r="A100" s="18" t="s">
        <v>205</v>
      </c>
      <c r="Q100" s="21">
        <v>1</v>
      </c>
      <c r="T100" s="18">
        <v>1</v>
      </c>
    </row>
    <row r="101" spans="1:29" ht="14.25" customHeight="1">
      <c r="A101" s="18" t="s">
        <v>206</v>
      </c>
      <c r="F101" s="21">
        <v>1</v>
      </c>
      <c r="AA101" s="21">
        <v>1</v>
      </c>
    </row>
    <row r="102" spans="1:29" ht="14.25" customHeight="1">
      <c r="A102" s="18" t="s">
        <v>207</v>
      </c>
      <c r="H102" s="21">
        <v>1</v>
      </c>
      <c r="M102" s="21">
        <v>1</v>
      </c>
      <c r="U102" s="21">
        <v>1</v>
      </c>
      <c r="X102" s="21">
        <v>1</v>
      </c>
    </row>
    <row r="103" spans="1:29" ht="14.25" customHeight="1">
      <c r="A103" s="18" t="s">
        <v>208</v>
      </c>
      <c r="M103" s="21">
        <v>1</v>
      </c>
      <c r="T103" s="18">
        <v>1</v>
      </c>
    </row>
    <row r="104" spans="1:29" ht="14.25" customHeight="1">
      <c r="A104" s="18" t="s">
        <v>209</v>
      </c>
      <c r="J104" s="21">
        <v>1</v>
      </c>
      <c r="M104" s="21">
        <v>1</v>
      </c>
      <c r="T104" s="18">
        <v>1</v>
      </c>
    </row>
    <row r="105" spans="1:29" ht="14.25" customHeight="1">
      <c r="A105" s="18" t="s">
        <v>210</v>
      </c>
      <c r="J105" s="21">
        <v>1</v>
      </c>
      <c r="T105" s="18">
        <v>1</v>
      </c>
      <c r="U105" s="21">
        <v>1</v>
      </c>
    </row>
    <row r="106" spans="1:29" ht="14.25" customHeight="1">
      <c r="A106" s="18" t="s">
        <v>211</v>
      </c>
      <c r="M106" s="21">
        <v>1</v>
      </c>
      <c r="V106" s="21">
        <v>1</v>
      </c>
    </row>
    <row r="107" spans="1:29" ht="14.25" customHeight="1">
      <c r="A107" s="18" t="s">
        <v>212</v>
      </c>
      <c r="N107" s="21">
        <v>1</v>
      </c>
      <c r="U107" s="21">
        <v>1</v>
      </c>
    </row>
    <row r="108" spans="1:29" ht="14.25" customHeight="1">
      <c r="A108" s="18" t="s">
        <v>213</v>
      </c>
      <c r="C108" s="21">
        <v>1</v>
      </c>
      <c r="M108" s="21">
        <v>1</v>
      </c>
      <c r="T108" s="21">
        <v>1</v>
      </c>
      <c r="U108" s="21">
        <v>1</v>
      </c>
    </row>
    <row r="109" spans="1:29" ht="14.25" customHeight="1">
      <c r="A109" s="18" t="s">
        <v>214</v>
      </c>
      <c r="C109" s="21">
        <v>1</v>
      </c>
      <c r="T109" s="18">
        <v>1</v>
      </c>
    </row>
    <row r="110" spans="1:29" ht="14.25" customHeight="1">
      <c r="A110" s="18" t="s">
        <v>215</v>
      </c>
      <c r="J110" s="21">
        <v>1</v>
      </c>
      <c r="X110" s="21">
        <v>1</v>
      </c>
    </row>
    <row r="111" spans="1:29" ht="14.25" customHeight="1">
      <c r="A111" s="18" t="s">
        <v>216</v>
      </c>
      <c r="B111" s="21">
        <v>1</v>
      </c>
      <c r="T111" s="18">
        <v>1</v>
      </c>
    </row>
    <row r="112" spans="1:29" ht="14.25" customHeight="1">
      <c r="A112" s="18" t="s">
        <v>217</v>
      </c>
      <c r="R112" s="21">
        <v>1</v>
      </c>
      <c r="T112" s="18">
        <v>1</v>
      </c>
    </row>
    <row r="113" spans="1:32" ht="14.25" customHeight="1">
      <c r="A113" s="18" t="s">
        <v>218</v>
      </c>
      <c r="F113" s="21">
        <v>1</v>
      </c>
      <c r="T113" s="18">
        <v>1</v>
      </c>
    </row>
    <row r="114" spans="1:32" ht="14.25" customHeight="1">
      <c r="A114" s="18" t="s">
        <v>219</v>
      </c>
      <c r="B114" s="21">
        <v>1</v>
      </c>
      <c r="T114" s="18">
        <v>1</v>
      </c>
    </row>
    <row r="115" spans="1:32" ht="14.25" customHeight="1">
      <c r="A115" s="18" t="s">
        <v>220</v>
      </c>
      <c r="M115" s="21">
        <v>1</v>
      </c>
      <c r="T115" s="18">
        <v>1</v>
      </c>
    </row>
    <row r="116" spans="1:32" ht="14.25" customHeight="1">
      <c r="A116" s="18" t="s">
        <v>221</v>
      </c>
      <c r="K116" s="21">
        <v>1</v>
      </c>
      <c r="T116" s="18"/>
      <c r="X116" s="21">
        <v>1</v>
      </c>
    </row>
    <row r="117" spans="1:32" ht="14.25" customHeight="1">
      <c r="A117" s="18" t="s">
        <v>222</v>
      </c>
      <c r="P117" s="21">
        <v>1</v>
      </c>
      <c r="X117" s="21">
        <v>1</v>
      </c>
      <c r="Z117" s="21">
        <v>1</v>
      </c>
    </row>
    <row r="118" spans="1:32" ht="14.25" customHeight="1">
      <c r="A118" s="18" t="s">
        <v>223</v>
      </c>
      <c r="M118" s="21">
        <v>1</v>
      </c>
      <c r="U118" s="21">
        <v>1</v>
      </c>
    </row>
    <row r="119" spans="1:32" ht="14.25" customHeight="1">
      <c r="A119" s="18" t="s">
        <v>224</v>
      </c>
      <c r="B119" s="21">
        <v>1</v>
      </c>
      <c r="T119" s="18">
        <v>1</v>
      </c>
    </row>
    <row r="120" spans="1:32" ht="14.25" customHeight="1">
      <c r="A120" s="18" t="s">
        <v>225</v>
      </c>
      <c r="N120" s="21">
        <v>1</v>
      </c>
      <c r="T120" s="18">
        <v>1</v>
      </c>
      <c r="U120" s="21">
        <v>1</v>
      </c>
    </row>
    <row r="121" spans="1:32" ht="14.25" customHeight="1">
      <c r="A121" s="18" t="s">
        <v>226</v>
      </c>
      <c r="M121" s="21">
        <v>1</v>
      </c>
      <c r="Z121" s="21">
        <v>1</v>
      </c>
    </row>
    <row r="122" spans="1:32" ht="14.25" customHeight="1">
      <c r="A122" s="18" t="s">
        <v>227</v>
      </c>
      <c r="J122" s="21">
        <v>1</v>
      </c>
      <c r="Z122" s="21">
        <v>1</v>
      </c>
    </row>
    <row r="123" spans="1:32" ht="14.25" customHeight="1">
      <c r="A123" s="18" t="s">
        <v>228</v>
      </c>
      <c r="F123" s="21">
        <v>1</v>
      </c>
      <c r="J123" s="21">
        <v>1</v>
      </c>
      <c r="T123" s="18">
        <v>1</v>
      </c>
    </row>
    <row r="124" spans="1:32" ht="14.25" customHeight="1">
      <c r="A124" s="18" t="s">
        <v>229</v>
      </c>
      <c r="Q124" s="21">
        <v>1</v>
      </c>
      <c r="T124" s="18">
        <v>1</v>
      </c>
      <c r="U124" s="21">
        <v>1</v>
      </c>
    </row>
    <row r="125" spans="1:32" ht="14.25" customHeight="1">
      <c r="A125" s="18" t="s">
        <v>230</v>
      </c>
      <c r="B125" s="21">
        <v>1</v>
      </c>
      <c r="T125" s="18">
        <v>1</v>
      </c>
    </row>
    <row r="126" spans="1:32" ht="14.25" customHeight="1">
      <c r="A126" s="18" t="s">
        <v>231</v>
      </c>
      <c r="B126" s="21">
        <v>1</v>
      </c>
      <c r="AF126" s="21">
        <v>1</v>
      </c>
    </row>
    <row r="127" spans="1:32" ht="14.25" customHeight="1">
      <c r="A127" s="18" t="s">
        <v>232</v>
      </c>
      <c r="B127" s="21">
        <v>1</v>
      </c>
      <c r="Q127" s="21">
        <v>1</v>
      </c>
      <c r="T127" s="18">
        <v>1</v>
      </c>
    </row>
    <row r="128" spans="1:32" ht="14.25" customHeight="1">
      <c r="A128" s="18" t="s">
        <v>233</v>
      </c>
      <c r="M128" s="21">
        <v>1</v>
      </c>
      <c r="T128" s="18">
        <v>1</v>
      </c>
      <c r="X128" s="21">
        <v>1</v>
      </c>
    </row>
    <row r="129" spans="1:32" ht="14.25" customHeight="1">
      <c r="A129" s="18" t="s">
        <v>234</v>
      </c>
      <c r="M129" s="21">
        <v>1</v>
      </c>
      <c r="T129" s="18">
        <v>1</v>
      </c>
    </row>
    <row r="130" spans="1:32" ht="14.25" customHeight="1">
      <c r="A130" s="18" t="s">
        <v>235</v>
      </c>
      <c r="M130" s="21">
        <v>1</v>
      </c>
      <c r="Y130" s="21">
        <v>1</v>
      </c>
    </row>
    <row r="131" spans="1:32" ht="14.25" customHeight="1">
      <c r="A131" s="18" t="s">
        <v>236</v>
      </c>
      <c r="H131" s="21">
        <v>1</v>
      </c>
      <c r="AF131" s="21">
        <v>1</v>
      </c>
    </row>
    <row r="132" spans="1:32" ht="14.25" customHeight="1">
      <c r="A132" s="18" t="s">
        <v>237</v>
      </c>
      <c r="B132" s="21">
        <v>1</v>
      </c>
      <c r="K132" s="21">
        <v>1</v>
      </c>
      <c r="T132" s="18">
        <v>1</v>
      </c>
    </row>
    <row r="133" spans="1:32" ht="14.25" customHeight="1">
      <c r="A133" s="18" t="s">
        <v>238</v>
      </c>
      <c r="M133" s="21">
        <v>1</v>
      </c>
      <c r="T133" s="18">
        <v>1</v>
      </c>
      <c r="U133" s="21">
        <v>1</v>
      </c>
      <c r="V133" s="21">
        <v>1</v>
      </c>
      <c r="W133" s="21">
        <v>1</v>
      </c>
      <c r="X133" s="21">
        <v>1</v>
      </c>
      <c r="Z133" s="21">
        <v>1</v>
      </c>
    </row>
    <row r="134" spans="1:32" ht="14.25" customHeight="1">
      <c r="A134" s="18" t="s">
        <v>239</v>
      </c>
      <c r="K134" s="21">
        <v>1</v>
      </c>
      <c r="T134" s="18">
        <v>1</v>
      </c>
    </row>
    <row r="135" spans="1:32" ht="14.25" customHeight="1">
      <c r="A135" s="18" t="s">
        <v>240</v>
      </c>
      <c r="C135" s="21">
        <v>1</v>
      </c>
      <c r="K135" s="21">
        <v>1</v>
      </c>
      <c r="T135" s="18">
        <v>1</v>
      </c>
      <c r="U135" s="21">
        <v>1</v>
      </c>
      <c r="Y135" s="21">
        <v>0</v>
      </c>
    </row>
    <row r="136" spans="1:32" ht="14.25" customHeight="1">
      <c r="A136" s="18" t="s">
        <v>241</v>
      </c>
      <c r="B136" s="21">
        <v>1</v>
      </c>
      <c r="T136" s="18">
        <v>1</v>
      </c>
    </row>
    <row r="137" spans="1:32" ht="14.25" customHeight="1">
      <c r="A137" s="18" t="s">
        <v>242</v>
      </c>
      <c r="C137" s="21">
        <v>1</v>
      </c>
      <c r="E137" s="21">
        <v>1</v>
      </c>
      <c r="I137" s="21">
        <v>1</v>
      </c>
      <c r="T137" s="18">
        <v>1</v>
      </c>
      <c r="U137" s="21">
        <v>1</v>
      </c>
    </row>
    <row r="138" spans="1:32" ht="14.25" customHeight="1">
      <c r="A138" s="18" t="s">
        <v>243</v>
      </c>
      <c r="K138" s="21">
        <v>1</v>
      </c>
      <c r="T138" s="18">
        <v>1</v>
      </c>
    </row>
    <row r="139" spans="1:32" ht="14.25" customHeight="1">
      <c r="A139" s="18" t="s">
        <v>244</v>
      </c>
      <c r="M139" s="21">
        <v>1</v>
      </c>
      <c r="T139" s="18">
        <v>1</v>
      </c>
      <c r="U139" s="21">
        <v>1</v>
      </c>
      <c r="V139" s="21">
        <v>1</v>
      </c>
      <c r="W139" s="21">
        <v>1</v>
      </c>
      <c r="AE139" s="21">
        <v>1</v>
      </c>
    </row>
    <row r="140" spans="1:32" ht="14.25" customHeight="1">
      <c r="A140" s="18" t="s">
        <v>245</v>
      </c>
      <c r="C140" s="21">
        <v>1</v>
      </c>
      <c r="E140" s="21">
        <v>1</v>
      </c>
      <c r="T140" s="18">
        <v>1</v>
      </c>
    </row>
    <row r="141" spans="1:32" ht="14.25" customHeight="1">
      <c r="A141" s="18" t="s">
        <v>246</v>
      </c>
      <c r="B141" s="21">
        <v>1</v>
      </c>
      <c r="K141" s="21">
        <v>1</v>
      </c>
      <c r="AC141" s="21">
        <v>1</v>
      </c>
    </row>
    <row r="142" spans="1:32" ht="14.25" customHeight="1">
      <c r="A142" s="18" t="s">
        <v>247</v>
      </c>
      <c r="B142" s="21">
        <v>1</v>
      </c>
      <c r="K142" s="21">
        <v>1</v>
      </c>
      <c r="W142" s="21">
        <v>1</v>
      </c>
    </row>
    <row r="143" spans="1:32" ht="14.25" customHeight="1">
      <c r="A143" s="18" t="s">
        <v>248</v>
      </c>
      <c r="K143" s="21">
        <v>1</v>
      </c>
      <c r="M143" s="21">
        <v>1</v>
      </c>
      <c r="Y143" s="21">
        <v>1</v>
      </c>
    </row>
    <row r="144" spans="1:32" ht="14.25" customHeight="1">
      <c r="A144" s="18" t="s">
        <v>249</v>
      </c>
      <c r="K144" s="21">
        <v>1</v>
      </c>
      <c r="T144" s="18">
        <v>1</v>
      </c>
    </row>
    <row r="145" spans="1:31" ht="14.25" customHeight="1">
      <c r="A145" s="18" t="s">
        <v>250</v>
      </c>
      <c r="F145" s="21">
        <v>1</v>
      </c>
      <c r="M145" s="21">
        <v>1</v>
      </c>
      <c r="T145" s="18">
        <v>1</v>
      </c>
    </row>
    <row r="146" spans="1:31" ht="14.25" customHeight="1">
      <c r="A146" s="18" t="s">
        <v>251</v>
      </c>
      <c r="C146" s="21">
        <v>1</v>
      </c>
      <c r="E146" s="21">
        <v>1</v>
      </c>
      <c r="G146" s="21">
        <v>1</v>
      </c>
      <c r="I146" s="21">
        <v>1</v>
      </c>
      <c r="T146" s="18">
        <v>1</v>
      </c>
    </row>
    <row r="147" spans="1:31" ht="14.25" customHeight="1">
      <c r="A147" s="18" t="s">
        <v>252</v>
      </c>
      <c r="C147" s="21">
        <v>1</v>
      </c>
      <c r="D147" s="21">
        <v>1</v>
      </c>
      <c r="E147" s="21">
        <v>1</v>
      </c>
      <c r="U147" s="21">
        <v>1</v>
      </c>
    </row>
    <row r="148" spans="1:31" ht="14.25" customHeight="1">
      <c r="A148" s="18" t="s">
        <v>253</v>
      </c>
      <c r="N148" s="21">
        <v>1</v>
      </c>
      <c r="U148" s="21">
        <v>1</v>
      </c>
    </row>
    <row r="149" spans="1:31" ht="14.25" customHeight="1">
      <c r="A149" s="18" t="s">
        <v>254</v>
      </c>
      <c r="K149" s="21">
        <v>1</v>
      </c>
      <c r="M149" s="21">
        <v>1</v>
      </c>
      <c r="T149" s="18">
        <v>1</v>
      </c>
      <c r="U149" s="21">
        <v>1</v>
      </c>
    </row>
    <row r="150" spans="1:31" ht="14.25" customHeight="1">
      <c r="A150" s="18" t="s">
        <v>255</v>
      </c>
      <c r="B150" s="21">
        <v>1</v>
      </c>
      <c r="K150" s="21">
        <v>1</v>
      </c>
      <c r="T150" s="18">
        <v>1</v>
      </c>
    </row>
    <row r="151" spans="1:31" ht="14.25" customHeight="1">
      <c r="A151" s="18" t="s">
        <v>256</v>
      </c>
      <c r="M151" s="21">
        <v>1</v>
      </c>
      <c r="T151" s="18">
        <v>1</v>
      </c>
      <c r="U151" s="21">
        <v>1</v>
      </c>
      <c r="V151" s="21">
        <v>1</v>
      </c>
      <c r="AE151" s="21">
        <v>0</v>
      </c>
    </row>
    <row r="152" spans="1:31" ht="14.25" customHeight="1">
      <c r="A152" s="18" t="s">
        <v>257</v>
      </c>
      <c r="C152" s="21">
        <v>1</v>
      </c>
      <c r="U152" s="21">
        <v>1</v>
      </c>
    </row>
    <row r="153" spans="1:31" ht="14.25" customHeight="1">
      <c r="A153" s="18" t="s">
        <v>258</v>
      </c>
      <c r="J153" s="21">
        <v>1</v>
      </c>
      <c r="L153" s="21">
        <v>1</v>
      </c>
      <c r="T153" s="18">
        <v>1</v>
      </c>
    </row>
    <row r="154" spans="1:31" ht="14.25" customHeight="1">
      <c r="A154" s="18" t="s">
        <v>259</v>
      </c>
      <c r="C154" s="21">
        <v>1</v>
      </c>
      <c r="F154" s="21">
        <v>1</v>
      </c>
      <c r="T154" s="18">
        <v>1</v>
      </c>
    </row>
    <row r="155" spans="1:31" ht="14.25" customHeight="1">
      <c r="A155" s="18" t="s">
        <v>260</v>
      </c>
      <c r="K155" s="21">
        <v>1</v>
      </c>
      <c r="M155" s="21">
        <v>1</v>
      </c>
      <c r="R155" s="21">
        <v>1</v>
      </c>
      <c r="T155" s="18">
        <v>1</v>
      </c>
      <c r="W155" s="21">
        <v>1</v>
      </c>
    </row>
    <row r="156" spans="1:31" ht="14.25" customHeight="1">
      <c r="A156" s="18" t="s">
        <v>261</v>
      </c>
      <c r="N156" s="21">
        <v>1</v>
      </c>
      <c r="T156" s="18">
        <v>1</v>
      </c>
    </row>
    <row r="157" spans="1:31" ht="14.25" customHeight="1">
      <c r="A157" s="18" t="s">
        <v>262</v>
      </c>
      <c r="B157" s="21">
        <v>1</v>
      </c>
      <c r="K157" s="21">
        <v>1</v>
      </c>
      <c r="T157" s="18">
        <v>1</v>
      </c>
      <c r="U157" s="21">
        <v>1</v>
      </c>
      <c r="W157" s="21">
        <v>1</v>
      </c>
      <c r="X157" s="21">
        <v>1</v>
      </c>
      <c r="Y157" s="21">
        <v>1</v>
      </c>
    </row>
    <row r="158" spans="1:31" ht="14.25" customHeight="1">
      <c r="A158" s="18" t="s">
        <v>263</v>
      </c>
      <c r="M158" s="21">
        <v>1</v>
      </c>
      <c r="T158" s="18">
        <v>1</v>
      </c>
    </row>
    <row r="159" spans="1:31" ht="14.25" customHeight="1">
      <c r="A159" s="18" t="s">
        <v>264</v>
      </c>
      <c r="K159" s="21">
        <v>1</v>
      </c>
      <c r="T159" s="18">
        <v>1</v>
      </c>
    </row>
    <row r="160" spans="1:31" ht="14.25" customHeight="1">
      <c r="A160" s="18" t="s">
        <v>265</v>
      </c>
      <c r="R160" s="21">
        <v>1</v>
      </c>
      <c r="S160" s="21">
        <v>1</v>
      </c>
      <c r="Y160" s="21">
        <v>1</v>
      </c>
    </row>
    <row r="161" spans="1:23" ht="14.25" customHeight="1">
      <c r="A161" s="18" t="s">
        <v>266</v>
      </c>
      <c r="N161" s="21">
        <v>1</v>
      </c>
      <c r="W161" s="21">
        <v>1</v>
      </c>
    </row>
    <row r="162" spans="1:23" ht="14.25" customHeight="1">
      <c r="A162" s="18" t="s">
        <v>267</v>
      </c>
      <c r="J162" s="21">
        <v>1</v>
      </c>
      <c r="T162" s="18">
        <v>1</v>
      </c>
    </row>
    <row r="163" spans="1:23" ht="14.25" customHeight="1">
      <c r="A163" s="18" t="s">
        <v>268</v>
      </c>
      <c r="J163" s="21">
        <v>1</v>
      </c>
      <c r="T163" s="18">
        <v>1</v>
      </c>
      <c r="U163" s="21">
        <v>1</v>
      </c>
    </row>
    <row r="164" spans="1:23" ht="14.25" customHeight="1">
      <c r="A164" s="18" t="s">
        <v>269</v>
      </c>
      <c r="K164" s="21">
        <v>1</v>
      </c>
      <c r="T164" s="18">
        <v>1</v>
      </c>
      <c r="U164" s="21">
        <v>1</v>
      </c>
    </row>
    <row r="165" spans="1:23" ht="14.25" customHeight="1">
      <c r="A165" s="18" t="s">
        <v>270</v>
      </c>
      <c r="B165" s="21">
        <v>1</v>
      </c>
      <c r="M165" s="21">
        <v>1</v>
      </c>
      <c r="W165" s="21">
        <v>1</v>
      </c>
    </row>
    <row r="166" spans="1:23" ht="14.25" customHeight="1">
      <c r="A166" s="18" t="s">
        <v>271</v>
      </c>
      <c r="M166" s="21">
        <v>1</v>
      </c>
      <c r="T166" s="18">
        <v>1</v>
      </c>
    </row>
    <row r="167" spans="1:23" ht="14.25" customHeight="1">
      <c r="A167" s="18" t="s">
        <v>272</v>
      </c>
      <c r="C167" s="21">
        <v>1</v>
      </c>
      <c r="T167" s="18">
        <v>1</v>
      </c>
    </row>
    <row r="168" spans="1:23" ht="14.25" customHeight="1">
      <c r="A168" s="18" t="s">
        <v>273</v>
      </c>
      <c r="C168" s="21">
        <v>1</v>
      </c>
      <c r="T168" s="18">
        <v>1</v>
      </c>
    </row>
    <row r="169" spans="1:23" ht="14.25" customHeight="1">
      <c r="A169" s="18" t="s">
        <v>274</v>
      </c>
      <c r="M169" s="21">
        <v>1</v>
      </c>
      <c r="T169" s="18">
        <v>1</v>
      </c>
      <c r="U169" s="21">
        <v>1</v>
      </c>
      <c r="W169" s="21">
        <v>1</v>
      </c>
    </row>
    <row r="170" spans="1:23" ht="14.25" customHeight="1">
      <c r="A170" s="18" t="s">
        <v>275</v>
      </c>
      <c r="M170" s="21">
        <v>1</v>
      </c>
      <c r="T170" s="18">
        <v>1</v>
      </c>
    </row>
    <row r="171" spans="1:23" ht="14.25" customHeight="1">
      <c r="A171" s="18" t="s">
        <v>276</v>
      </c>
      <c r="Q171" s="21">
        <v>1</v>
      </c>
      <c r="T171" s="18">
        <v>1</v>
      </c>
    </row>
    <row r="172" spans="1:23" ht="14.25" customHeight="1">
      <c r="A172" s="18" t="s">
        <v>277</v>
      </c>
      <c r="K172" s="21">
        <v>1</v>
      </c>
      <c r="T172" s="18">
        <v>1</v>
      </c>
    </row>
    <row r="173" spans="1:23" ht="14.25" customHeight="1">
      <c r="A173" s="18" t="s">
        <v>278</v>
      </c>
      <c r="M173" s="21">
        <v>1</v>
      </c>
      <c r="U173" s="21">
        <v>1</v>
      </c>
    </row>
    <row r="174" spans="1:23" ht="14.25" customHeight="1">
      <c r="A174" s="18" t="s">
        <v>279</v>
      </c>
      <c r="K174" s="21">
        <v>1</v>
      </c>
      <c r="U174" s="21">
        <v>1</v>
      </c>
    </row>
    <row r="175" spans="1:23" ht="14.25" customHeight="1">
      <c r="A175" s="18" t="s">
        <v>280</v>
      </c>
      <c r="C175" s="21">
        <v>1</v>
      </c>
      <c r="T175" s="18">
        <v>1</v>
      </c>
    </row>
    <row r="176" spans="1:23" ht="14.25" customHeight="1">
      <c r="A176" s="18" t="s">
        <v>281</v>
      </c>
      <c r="M176" s="21">
        <v>1</v>
      </c>
      <c r="U176" s="21">
        <v>1</v>
      </c>
    </row>
    <row r="177" spans="1:21" ht="14.25" customHeight="1">
      <c r="A177" s="18" t="s">
        <v>282</v>
      </c>
      <c r="M177" s="21">
        <v>1</v>
      </c>
      <c r="T177" s="18">
        <v>1</v>
      </c>
      <c r="U177" s="21">
        <v>1</v>
      </c>
    </row>
    <row r="178" spans="1:21" ht="14.25" customHeight="1">
      <c r="A178" s="18" t="s">
        <v>283</v>
      </c>
      <c r="B178" s="21">
        <v>1</v>
      </c>
      <c r="T178" s="18">
        <v>1</v>
      </c>
    </row>
    <row r="179" spans="1:21" ht="14.25" customHeight="1">
      <c r="A179" s="18" t="s">
        <v>284</v>
      </c>
      <c r="B179" s="21">
        <v>1</v>
      </c>
      <c r="U179" s="21">
        <v>1</v>
      </c>
    </row>
    <row r="180" spans="1:21" ht="14.25" customHeight="1">
      <c r="A180" s="18" t="s">
        <v>285</v>
      </c>
      <c r="C180" s="21">
        <v>1</v>
      </c>
      <c r="E180" s="21">
        <v>1</v>
      </c>
      <c r="I180" s="21">
        <v>1</v>
      </c>
      <c r="T180" s="18">
        <v>1</v>
      </c>
    </row>
    <row r="181" spans="1:21" ht="14.25" customHeight="1">
      <c r="A181" s="18" t="s">
        <v>286</v>
      </c>
      <c r="I181" s="21">
        <v>1</v>
      </c>
      <c r="J181" s="21">
        <v>1</v>
      </c>
      <c r="T181" s="18">
        <v>1</v>
      </c>
    </row>
    <row r="182" spans="1:21" ht="14.25" customHeight="1">
      <c r="A182" s="18" t="s">
        <v>287</v>
      </c>
      <c r="J182" s="21">
        <v>1</v>
      </c>
      <c r="T182" s="18">
        <v>1</v>
      </c>
    </row>
    <row r="183" spans="1:21" ht="14.25" customHeight="1">
      <c r="A183" s="18" t="s">
        <v>288</v>
      </c>
      <c r="G183" s="21">
        <v>1</v>
      </c>
      <c r="P183" s="21">
        <v>1</v>
      </c>
      <c r="T183" s="18">
        <v>1</v>
      </c>
    </row>
    <row r="184" spans="1:21" ht="14.25" customHeight="1">
      <c r="A184" s="18" t="s">
        <v>289</v>
      </c>
      <c r="K184" s="21">
        <v>1</v>
      </c>
      <c r="L184" s="21">
        <v>1</v>
      </c>
      <c r="U184" s="21">
        <v>1</v>
      </c>
    </row>
    <row r="185" spans="1:21" ht="14.25" customHeight="1">
      <c r="A185" s="18" t="s">
        <v>290</v>
      </c>
      <c r="C185" s="21">
        <v>1</v>
      </c>
      <c r="J185" s="21">
        <v>1</v>
      </c>
      <c r="T185" s="18">
        <v>1</v>
      </c>
    </row>
    <row r="186" spans="1:21" ht="14.25" customHeight="1">
      <c r="A186" s="18" t="s">
        <v>291</v>
      </c>
      <c r="B186" s="21">
        <v>1</v>
      </c>
      <c r="C186" s="21">
        <v>1</v>
      </c>
      <c r="U186" s="21">
        <v>1</v>
      </c>
    </row>
    <row r="187" spans="1:21" ht="14.25" customHeight="1">
      <c r="A187" s="18" t="s">
        <v>292</v>
      </c>
      <c r="D187" s="21">
        <v>1</v>
      </c>
      <c r="T187" s="18">
        <v>1</v>
      </c>
    </row>
    <row r="188" spans="1:21" ht="14.25" customHeight="1">
      <c r="A188" s="18" t="s">
        <v>293</v>
      </c>
      <c r="K188" s="21">
        <v>1</v>
      </c>
      <c r="T188" s="18">
        <v>1</v>
      </c>
    </row>
    <row r="189" spans="1:21" ht="14.25" customHeight="1">
      <c r="A189" s="18" t="s">
        <v>294</v>
      </c>
      <c r="K189" s="21">
        <v>1</v>
      </c>
      <c r="Q189" s="21">
        <v>1</v>
      </c>
      <c r="T189" s="18">
        <v>1</v>
      </c>
    </row>
    <row r="190" spans="1:21" ht="14.25" customHeight="1">
      <c r="A190" s="18" t="s">
        <v>295</v>
      </c>
      <c r="F190" s="21">
        <v>1</v>
      </c>
      <c r="M190" s="21">
        <v>1</v>
      </c>
      <c r="T190" s="18">
        <v>1</v>
      </c>
    </row>
    <row r="191" spans="1:21" ht="14.25" customHeight="1">
      <c r="A191" s="18" t="s">
        <v>296</v>
      </c>
      <c r="H191" s="21">
        <v>1</v>
      </c>
      <c r="J191" s="21">
        <v>1</v>
      </c>
      <c r="M191" s="21">
        <v>1</v>
      </c>
      <c r="T191" s="18">
        <v>1</v>
      </c>
    </row>
    <row r="192" spans="1:21" ht="14.25" customHeight="1">
      <c r="A192" s="18" t="s">
        <v>297</v>
      </c>
      <c r="S192" s="21">
        <v>1</v>
      </c>
      <c r="T192" s="18">
        <v>1</v>
      </c>
    </row>
    <row r="193" spans="1:29" ht="14.25" customHeight="1">
      <c r="A193" s="18" t="s">
        <v>298</v>
      </c>
      <c r="J193" s="21">
        <v>1</v>
      </c>
      <c r="T193" s="18">
        <v>1</v>
      </c>
    </row>
    <row r="194" spans="1:29" ht="14.25" customHeight="1">
      <c r="A194" s="18" t="s">
        <v>299</v>
      </c>
      <c r="B194" s="21">
        <v>1</v>
      </c>
      <c r="T194" s="18">
        <v>1</v>
      </c>
    </row>
    <row r="195" spans="1:29" ht="14.25" customHeight="1">
      <c r="A195" s="18" t="s">
        <v>300</v>
      </c>
      <c r="K195" s="21">
        <v>1</v>
      </c>
      <c r="P195" s="21">
        <v>1</v>
      </c>
      <c r="T195" s="18">
        <v>1</v>
      </c>
    </row>
    <row r="196" spans="1:29" ht="14.25" customHeight="1">
      <c r="A196" s="18" t="s">
        <v>301</v>
      </c>
      <c r="J196" s="21">
        <v>1</v>
      </c>
      <c r="T196" s="18">
        <v>1</v>
      </c>
    </row>
    <row r="197" spans="1:29" ht="14.25" customHeight="1">
      <c r="A197" s="18" t="s">
        <v>302</v>
      </c>
      <c r="C197" s="21">
        <v>1</v>
      </c>
      <c r="M197" s="21">
        <v>1</v>
      </c>
      <c r="T197" s="18">
        <v>1</v>
      </c>
      <c r="U197" s="21">
        <v>1</v>
      </c>
      <c r="V197" s="21">
        <v>1</v>
      </c>
      <c r="Y197" s="21">
        <v>1</v>
      </c>
    </row>
    <row r="198" spans="1:29" ht="14.25" customHeight="1">
      <c r="A198" s="18" t="s">
        <v>303</v>
      </c>
      <c r="F198" s="21">
        <v>1</v>
      </c>
      <c r="M198" s="21">
        <v>1</v>
      </c>
      <c r="T198" s="18">
        <v>1</v>
      </c>
      <c r="Y198" s="21">
        <v>1</v>
      </c>
    </row>
    <row r="199" spans="1:29" ht="14.25" customHeight="1">
      <c r="A199" s="18" t="s">
        <v>304</v>
      </c>
      <c r="H199" s="21">
        <v>1</v>
      </c>
      <c r="J199" s="21">
        <v>1</v>
      </c>
      <c r="M199" s="21">
        <v>1</v>
      </c>
      <c r="T199" s="18">
        <v>1</v>
      </c>
    </row>
    <row r="200" spans="1:29" ht="14.25" customHeight="1">
      <c r="A200" s="18" t="s">
        <v>305</v>
      </c>
      <c r="C200" s="21">
        <v>1</v>
      </c>
      <c r="T200" s="18">
        <v>1</v>
      </c>
    </row>
    <row r="201" spans="1:29" ht="14.25" customHeight="1">
      <c r="A201" s="18" t="s">
        <v>306</v>
      </c>
      <c r="K201" s="21">
        <v>1</v>
      </c>
      <c r="Q201" s="21">
        <v>1</v>
      </c>
      <c r="T201" s="18">
        <v>1</v>
      </c>
    </row>
    <row r="202" spans="1:29" ht="14.25" customHeight="1">
      <c r="A202" s="18" t="s">
        <v>307</v>
      </c>
      <c r="K202" s="21">
        <v>1</v>
      </c>
      <c r="S202" s="21">
        <v>1</v>
      </c>
      <c r="AC202" s="21">
        <v>1</v>
      </c>
    </row>
    <row r="203" spans="1:29" ht="14.25" customHeight="1">
      <c r="A203" s="18" t="s">
        <v>308</v>
      </c>
      <c r="B203" s="21">
        <v>1</v>
      </c>
      <c r="J203" s="21">
        <v>1</v>
      </c>
      <c r="T203" s="18">
        <v>1</v>
      </c>
    </row>
    <row r="204" spans="1:29" ht="14.25" customHeight="1">
      <c r="A204" s="18" t="s">
        <v>309</v>
      </c>
      <c r="K204" s="21">
        <v>1</v>
      </c>
      <c r="M204" s="21">
        <v>1</v>
      </c>
      <c r="U204" s="21">
        <v>1</v>
      </c>
      <c r="V204" s="21">
        <v>1</v>
      </c>
      <c r="W204" s="21">
        <v>1</v>
      </c>
      <c r="Z204" s="21">
        <v>1</v>
      </c>
    </row>
    <row r="205" spans="1:29" ht="14.25" customHeight="1">
      <c r="A205" s="18" t="s">
        <v>310</v>
      </c>
      <c r="M205" s="21">
        <v>1</v>
      </c>
      <c r="T205" s="18">
        <v>1</v>
      </c>
      <c r="V205" s="21">
        <v>1</v>
      </c>
      <c r="X205" s="21">
        <v>1</v>
      </c>
      <c r="Z205" s="21">
        <v>1</v>
      </c>
    </row>
    <row r="206" spans="1:29" ht="14.25" customHeight="1">
      <c r="A206" s="18" t="s">
        <v>311</v>
      </c>
      <c r="B206" s="21">
        <v>1</v>
      </c>
      <c r="M206" s="21">
        <v>1</v>
      </c>
      <c r="T206" s="18">
        <v>1</v>
      </c>
    </row>
    <row r="207" spans="1:29" ht="14.25" customHeight="1">
      <c r="A207" s="18" t="s">
        <v>312</v>
      </c>
      <c r="F207" s="21">
        <v>1</v>
      </c>
      <c r="M207" s="21">
        <v>1</v>
      </c>
      <c r="T207" s="18">
        <v>1</v>
      </c>
    </row>
    <row r="208" spans="1:29" ht="14.25" customHeight="1">
      <c r="A208" s="18" t="s">
        <v>313</v>
      </c>
      <c r="F208" s="21">
        <v>1</v>
      </c>
      <c r="J208" s="21">
        <v>1</v>
      </c>
      <c r="T208" s="18">
        <v>1</v>
      </c>
    </row>
    <row r="209" spans="1:27" ht="14.25" customHeight="1">
      <c r="A209" s="18" t="s">
        <v>314</v>
      </c>
      <c r="B209" s="21">
        <v>1</v>
      </c>
      <c r="J209" s="21">
        <v>1</v>
      </c>
      <c r="K209" s="21">
        <v>1</v>
      </c>
      <c r="T209" s="18">
        <v>1</v>
      </c>
    </row>
    <row r="210" spans="1:27" ht="14.25" customHeight="1">
      <c r="A210" s="18" t="s">
        <v>315</v>
      </c>
      <c r="J210" s="21">
        <v>1</v>
      </c>
      <c r="Y210" s="21">
        <v>1</v>
      </c>
    </row>
    <row r="211" spans="1:27" ht="14.25" customHeight="1">
      <c r="A211" s="18" t="s">
        <v>316</v>
      </c>
      <c r="F211" s="21">
        <v>1</v>
      </c>
      <c r="M211" s="21">
        <v>1</v>
      </c>
      <c r="N211" s="21">
        <v>1</v>
      </c>
      <c r="T211" s="18">
        <v>1</v>
      </c>
    </row>
    <row r="212" spans="1:27" ht="14.25" customHeight="1">
      <c r="A212" s="18" t="s">
        <v>317</v>
      </c>
      <c r="K212" s="21">
        <v>1</v>
      </c>
      <c r="T212" s="18">
        <v>1</v>
      </c>
      <c r="U212" s="21">
        <v>1</v>
      </c>
    </row>
    <row r="213" spans="1:27" ht="14.25" customHeight="1">
      <c r="A213" s="18" t="s">
        <v>318</v>
      </c>
      <c r="K213" s="21">
        <v>1</v>
      </c>
      <c r="M213" s="21">
        <v>1</v>
      </c>
      <c r="N213" s="21">
        <v>1</v>
      </c>
      <c r="T213" s="18">
        <v>1</v>
      </c>
    </row>
    <row r="214" spans="1:27" ht="14.25" customHeight="1">
      <c r="A214" s="18" t="s">
        <v>319</v>
      </c>
      <c r="F214" s="21">
        <v>1</v>
      </c>
      <c r="T214" s="18">
        <v>1</v>
      </c>
      <c r="U214" s="21">
        <v>1</v>
      </c>
    </row>
    <row r="215" spans="1:27" ht="14.25" customHeight="1">
      <c r="A215" s="18" t="s">
        <v>320</v>
      </c>
      <c r="C215" s="21">
        <v>1</v>
      </c>
      <c r="J215" s="21">
        <v>1</v>
      </c>
      <c r="U215" s="21">
        <v>1</v>
      </c>
    </row>
    <row r="216" spans="1:27" ht="14.25" customHeight="1">
      <c r="A216" s="18" t="s">
        <v>321</v>
      </c>
      <c r="F216" s="21">
        <v>1</v>
      </c>
      <c r="M216" s="21">
        <v>1</v>
      </c>
      <c r="N216" s="21">
        <v>1</v>
      </c>
      <c r="U216" s="21">
        <v>1</v>
      </c>
      <c r="Z216" s="21">
        <v>1</v>
      </c>
      <c r="AA216" s="21">
        <v>1</v>
      </c>
    </row>
    <row r="217" spans="1:27" ht="14.25" customHeight="1">
      <c r="A217" s="18" t="s">
        <v>322</v>
      </c>
      <c r="F217" s="21">
        <v>1</v>
      </c>
      <c r="M217" s="21">
        <v>1</v>
      </c>
      <c r="U217" s="21">
        <v>1</v>
      </c>
    </row>
    <row r="218" spans="1:27" ht="14.25" customHeight="1">
      <c r="A218" s="18" t="s">
        <v>323</v>
      </c>
      <c r="B218" s="21">
        <v>1</v>
      </c>
      <c r="T218" s="18">
        <v>1</v>
      </c>
      <c r="U218" s="21">
        <v>1</v>
      </c>
    </row>
    <row r="219" spans="1:27" ht="14.25" customHeight="1">
      <c r="A219" s="18" t="s">
        <v>324</v>
      </c>
      <c r="B219" s="21">
        <v>1</v>
      </c>
      <c r="T219" s="18">
        <v>1</v>
      </c>
    </row>
    <row r="220" spans="1:27" ht="14.25" customHeight="1">
      <c r="A220" s="18" t="s">
        <v>325</v>
      </c>
      <c r="B220" s="21">
        <v>1</v>
      </c>
      <c r="N220" s="21">
        <v>1</v>
      </c>
      <c r="T220" s="18">
        <v>1</v>
      </c>
      <c r="U220" s="21">
        <v>1</v>
      </c>
    </row>
    <row r="221" spans="1:27" ht="14.25" customHeight="1">
      <c r="A221" s="18" t="s">
        <v>326</v>
      </c>
      <c r="F221" s="21">
        <v>1</v>
      </c>
      <c r="M221" s="21">
        <v>1</v>
      </c>
      <c r="T221" s="18">
        <v>1</v>
      </c>
      <c r="Y221" s="21">
        <v>1</v>
      </c>
    </row>
    <row r="222" spans="1:27" ht="14.25" customHeight="1">
      <c r="A222" s="18" t="s">
        <v>327</v>
      </c>
      <c r="C222" s="21">
        <v>1</v>
      </c>
      <c r="M222" s="21">
        <v>1</v>
      </c>
      <c r="N222" s="21">
        <v>1</v>
      </c>
      <c r="T222" s="18">
        <v>1</v>
      </c>
    </row>
    <row r="223" spans="1:27" ht="14.25" customHeight="1">
      <c r="A223" s="18" t="s">
        <v>328</v>
      </c>
      <c r="J223" s="21">
        <v>1</v>
      </c>
      <c r="R223" s="21">
        <v>1</v>
      </c>
      <c r="U223" s="21">
        <v>1</v>
      </c>
    </row>
    <row r="224" spans="1:27" ht="14.25" customHeight="1">
      <c r="A224" s="18" t="s">
        <v>329</v>
      </c>
      <c r="F224" s="21">
        <v>1</v>
      </c>
      <c r="M224" s="21">
        <v>1</v>
      </c>
      <c r="T224" s="18">
        <v>1</v>
      </c>
      <c r="U224" s="21">
        <v>1</v>
      </c>
    </row>
    <row r="225" spans="1:24" ht="14.25" customHeight="1">
      <c r="A225" s="18" t="s">
        <v>330</v>
      </c>
      <c r="F225" s="21">
        <v>1</v>
      </c>
      <c r="M225" s="21">
        <v>1</v>
      </c>
      <c r="T225" s="18">
        <v>1</v>
      </c>
      <c r="X225" s="21">
        <v>1</v>
      </c>
    </row>
    <row r="226" spans="1:24" ht="14.25" customHeight="1"/>
    <row r="227" spans="1:24" ht="14.25" customHeight="1"/>
    <row r="228" spans="1:24" ht="14.25" customHeight="1"/>
    <row r="229" spans="1:24" ht="14.25" customHeight="1"/>
    <row r="230" spans="1:24" ht="14.25" customHeight="1"/>
    <row r="231" spans="1:24" ht="14.25" customHeight="1"/>
    <row r="232" spans="1:24" ht="14.25" customHeight="1"/>
    <row r="233" spans="1:24" ht="14.25" customHeight="1"/>
    <row r="234" spans="1:24" ht="14.25" customHeight="1"/>
    <row r="235" spans="1:24" ht="14.25" customHeight="1"/>
    <row r="236" spans="1:24" ht="14.25" customHeight="1"/>
    <row r="237" spans="1:24" ht="14.25" customHeight="1"/>
    <row r="238" spans="1:24" ht="14.25" customHeight="1"/>
    <row r="239" spans="1:24" ht="14.25" customHeight="1"/>
    <row r="240" spans="1:24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H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Areas</vt:lpstr>
      <vt:lpstr>Counting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</dc:creator>
  <cp:lastModifiedBy>Maria Isabel Sanchez Segura</cp:lastModifiedBy>
  <dcterms:created xsi:type="dcterms:W3CDTF">2015-06-05T18:19:34Z</dcterms:created>
  <dcterms:modified xsi:type="dcterms:W3CDTF">2023-06-23T13:12:03Z</dcterms:modified>
</cp:coreProperties>
</file>